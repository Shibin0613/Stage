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6BE1CDB9-6C1C-A5B6-3FC1-E231EC3C600E}"/>
  <workbookPr codeName="ThisWorkbook"/>
  <mc:AlternateContent xmlns:mc="http://schemas.openxmlformats.org/markup-compatibility/2006">
    <mc:Choice Requires="x15">
      <x15ac:absPath xmlns:x15ac="http://schemas.microsoft.com/office/spreadsheetml/2010/11/ac" url="C:\Users\pansh\Desktop\PvB SD\06 Beoordelingsdocumenten per kerntaak\"/>
    </mc:Choice>
  </mc:AlternateContent>
  <xr:revisionPtr revIDLastSave="0" documentId="13_ncr:1_{B57B2A70-88E3-43B5-B7CE-6D9130A2564F}" xr6:coauthVersionLast="47" xr6:coauthVersionMax="47" xr10:uidLastSave="{00000000-0000-0000-0000-000000000000}"/>
  <bookViews>
    <workbookView xWindow="-108" yWindow="-108" windowWidth="23256" windowHeight="12576" tabRatio="840" firstSheet="5" activeTab="6"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9" r:id="rId6"/>
    <sheet name="B1-K1-W1" sheetId="100" r:id="rId7"/>
    <sheet name="B1-K1-W2" sheetId="101" r:id="rId8"/>
    <sheet name="B1-K1-W3" sheetId="102" r:id="rId9"/>
    <sheet name="B1-K1-W4" sheetId="103" r:id="rId10"/>
    <sheet name="B1-K1-W5" sheetId="104"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104" l="1"/>
  <c r="C16" i="104"/>
  <c r="C17" i="104"/>
  <c r="C18" i="104"/>
  <c r="C19" i="104"/>
  <c r="C14" i="104"/>
  <c r="C14" i="103"/>
  <c r="C15" i="103"/>
  <c r="C16" i="103"/>
  <c r="C17" i="103"/>
  <c r="C18" i="103"/>
  <c r="C19" i="103"/>
  <c r="C14" i="102"/>
  <c r="C15" i="102"/>
  <c r="C16" i="102"/>
  <c r="C17" i="102"/>
  <c r="C18" i="102"/>
  <c r="C19" i="102"/>
  <c r="C15" i="101"/>
  <c r="C16" i="101"/>
  <c r="C17" i="101"/>
  <c r="C18" i="101"/>
  <c r="C19" i="101"/>
  <c r="C14" i="101"/>
  <c r="C15" i="100"/>
  <c r="C16" i="100"/>
  <c r="C17" i="100"/>
  <c r="C18" i="100"/>
  <c r="C19" i="100"/>
  <c r="C14" i="100"/>
  <c r="B41" i="104" l="1"/>
  <c r="H35" i="104"/>
  <c r="C35" i="104" s="1"/>
  <c r="O35" i="104"/>
  <c r="M35" i="104"/>
  <c r="J41" i="104" s="1"/>
  <c r="E39" i="104" s="1"/>
  <c r="E35" i="104"/>
  <c r="D35" i="104"/>
  <c r="B35" i="104"/>
  <c r="H33" i="104"/>
  <c r="H29" i="104"/>
  <c r="H26" i="104"/>
  <c r="C26" i="104" s="1"/>
  <c r="O26" i="104"/>
  <c r="M26" i="104"/>
  <c r="G26" i="104"/>
  <c r="F26" i="104"/>
  <c r="E26" i="104"/>
  <c r="D26" i="104"/>
  <c r="B26" i="104"/>
  <c r="H25" i="104"/>
  <c r="C25" i="104" s="1"/>
  <c r="O25" i="104"/>
  <c r="M25" i="104"/>
  <c r="G25" i="104"/>
  <c r="F25" i="104"/>
  <c r="E25" i="104"/>
  <c r="D25" i="104"/>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B26" i="103"/>
  <c r="H25" i="103"/>
  <c r="C25" i="103" s="1"/>
  <c r="O25" i="103"/>
  <c r="M25" i="103"/>
  <c r="G25" i="103"/>
  <c r="F25" i="103"/>
  <c r="E25" i="103"/>
  <c r="D25" i="103"/>
  <c r="B25" i="103"/>
  <c r="H24" i="103"/>
  <c r="C24" i="103" s="1"/>
  <c r="O24" i="103"/>
  <c r="M24" i="103"/>
  <c r="G24" i="103"/>
  <c r="F24" i="103"/>
  <c r="E24" i="103"/>
  <c r="D24" i="103"/>
  <c r="B24" i="103"/>
  <c r="H22" i="103"/>
  <c r="B10" i="103"/>
  <c r="B3" i="103"/>
  <c r="B2" i="103"/>
  <c r="C1" i="103"/>
  <c r="B11" i="103" s="1"/>
  <c r="B36" i="102"/>
  <c r="B35" i="102"/>
  <c r="H29" i="102"/>
  <c r="C29" i="102" s="1"/>
  <c r="O29" i="102"/>
  <c r="M29" i="102"/>
  <c r="G29" i="102"/>
  <c r="F29" i="102"/>
  <c r="E29" i="102"/>
  <c r="D29" i="102"/>
  <c r="B29" i="102"/>
  <c r="H28" i="102"/>
  <c r="C28" i="102" s="1"/>
  <c r="O28" i="102"/>
  <c r="M28" i="102"/>
  <c r="G28" i="102"/>
  <c r="F28" i="102"/>
  <c r="E28" i="102"/>
  <c r="D28" i="102"/>
  <c r="B28" i="102"/>
  <c r="H27" i="102"/>
  <c r="C27" i="102" s="1"/>
  <c r="O27" i="102"/>
  <c r="M27" i="102"/>
  <c r="G27" i="102"/>
  <c r="F27" i="102"/>
  <c r="E27" i="102"/>
  <c r="D27" i="102"/>
  <c r="B27" i="102"/>
  <c r="H26" i="102"/>
  <c r="C26" i="102" s="1"/>
  <c r="O26" i="102"/>
  <c r="M26" i="102"/>
  <c r="J36" i="102" s="1"/>
  <c r="I36" i="102" s="1"/>
  <c r="G26" i="102"/>
  <c r="F26" i="102"/>
  <c r="E26" i="102"/>
  <c r="D26" i="102"/>
  <c r="B26" i="102"/>
  <c r="H25" i="102"/>
  <c r="C25" i="102" s="1"/>
  <c r="O25" i="102"/>
  <c r="M25" i="102"/>
  <c r="G25" i="102"/>
  <c r="F25" i="102"/>
  <c r="E25" i="102"/>
  <c r="D25" i="102"/>
  <c r="B25" i="102"/>
  <c r="H24" i="102"/>
  <c r="C24" i="102" s="1"/>
  <c r="O24" i="102"/>
  <c r="M24" i="102"/>
  <c r="J35" i="102" s="1"/>
  <c r="G24" i="102"/>
  <c r="F24" i="102"/>
  <c r="E24" i="102"/>
  <c r="D24" i="102"/>
  <c r="B24" i="102"/>
  <c r="H22" i="102"/>
  <c r="B10" i="102"/>
  <c r="B3" i="102"/>
  <c r="B2" i="102"/>
  <c r="C1" i="102"/>
  <c r="B11" i="102" s="1"/>
  <c r="B32" i="101"/>
  <c r="H26" i="101"/>
  <c r="C26" i="101" s="1"/>
  <c r="O26" i="101"/>
  <c r="M26" i="101"/>
  <c r="G26" i="101"/>
  <c r="F26" i="101"/>
  <c r="E26" i="101"/>
  <c r="D26" i="101"/>
  <c r="B26" i="101"/>
  <c r="H25" i="101"/>
  <c r="C25" i="101" s="1"/>
  <c r="O25" i="101"/>
  <c r="M25" i="101"/>
  <c r="G25" i="101"/>
  <c r="F25" i="101"/>
  <c r="E25" i="101"/>
  <c r="D25" i="101"/>
  <c r="B25" i="101"/>
  <c r="H24" i="101"/>
  <c r="C24" i="101" s="1"/>
  <c r="O24" i="101"/>
  <c r="M24" i="101"/>
  <c r="D32" i="101" s="1"/>
  <c r="G24" i="101"/>
  <c r="F24" i="101"/>
  <c r="E24" i="101"/>
  <c r="D24" i="101"/>
  <c r="N24" i="101" s="1"/>
  <c r="B24" i="101"/>
  <c r="H22" i="101"/>
  <c r="C30" i="101" s="1"/>
  <c r="B10" i="101"/>
  <c r="B3" i="101"/>
  <c r="B2" i="101"/>
  <c r="C1" i="101"/>
  <c r="B11" i="101" s="1"/>
  <c r="H27" i="100"/>
  <c r="C27" i="100" s="1"/>
  <c r="O27" i="100"/>
  <c r="M27" i="100"/>
  <c r="G27" i="100"/>
  <c r="F27" i="100"/>
  <c r="E27" i="100"/>
  <c r="D27" i="100"/>
  <c r="B27" i="100"/>
  <c r="H26" i="100"/>
  <c r="C26" i="100" s="1"/>
  <c r="O26" i="100"/>
  <c r="M26" i="100"/>
  <c r="G26" i="100"/>
  <c r="F26" i="100"/>
  <c r="E26" i="100"/>
  <c r="D26" i="100"/>
  <c r="B26" i="100"/>
  <c r="H25" i="100"/>
  <c r="C25" i="100" s="1"/>
  <c r="O25" i="100"/>
  <c r="M25" i="100"/>
  <c r="G25" i="100"/>
  <c r="F25" i="100"/>
  <c r="E25" i="100"/>
  <c r="D25" i="100"/>
  <c r="B25" i="100"/>
  <c r="H24" i="100"/>
  <c r="C24" i="100" s="1"/>
  <c r="O24" i="100"/>
  <c r="M24" i="100"/>
  <c r="G24" i="100"/>
  <c r="F24" i="100"/>
  <c r="E24" i="100"/>
  <c r="D24" i="100"/>
  <c r="B24" i="100"/>
  <c r="H22" i="100"/>
  <c r="B10" i="100"/>
  <c r="B3" i="100"/>
  <c r="B2" i="100"/>
  <c r="C1" i="100"/>
  <c r="B11" i="100" s="1"/>
  <c r="B13" i="99"/>
  <c r="B11" i="99"/>
  <c r="C10" i="99"/>
  <c r="B10" i="99"/>
  <c r="B9" i="99"/>
  <c r="B8" i="99"/>
  <c r="B7" i="99"/>
  <c r="B6" i="99"/>
  <c r="C5" i="99"/>
  <c r="B5" i="99"/>
  <c r="N25" i="100" l="1"/>
  <c r="N35" i="104"/>
  <c r="N26" i="101"/>
  <c r="N24" i="103"/>
  <c r="B4" i="103" s="1"/>
  <c r="B8" i="103" s="1"/>
  <c r="C31" i="103" s="1"/>
  <c r="N25" i="103"/>
  <c r="N24" i="102"/>
  <c r="N27" i="102"/>
  <c r="N29" i="102"/>
  <c r="N24" i="104"/>
  <c r="N26" i="104"/>
  <c r="B4" i="104" s="1"/>
  <c r="B8" i="104" s="1"/>
  <c r="C55" i="104" s="1"/>
  <c r="N25" i="104"/>
  <c r="C39" i="104"/>
  <c r="B5" i="103"/>
  <c r="D40" i="103" s="1"/>
  <c r="N26" i="103"/>
  <c r="D4" i="103"/>
  <c r="D4" i="102"/>
  <c r="N25" i="102"/>
  <c r="N25" i="101"/>
  <c r="B7" i="101" s="1"/>
  <c r="B5" i="100"/>
  <c r="D39" i="100" s="1"/>
  <c r="N26" i="100"/>
  <c r="N27" i="100"/>
  <c r="N24" i="100"/>
  <c r="B7" i="100" s="1"/>
  <c r="B6" i="104"/>
  <c r="D41" i="104"/>
  <c r="B6" i="103"/>
  <c r="B7" i="103"/>
  <c r="N28" i="102"/>
  <c r="B6" i="102" s="1"/>
  <c r="N26" i="102"/>
  <c r="J32" i="101"/>
  <c r="E30" i="101" s="1"/>
  <c r="B6" i="100"/>
  <c r="D4" i="104"/>
  <c r="B5" i="104"/>
  <c r="E33" i="102"/>
  <c r="H35" i="102"/>
  <c r="I35" i="102"/>
  <c r="H36" i="102"/>
  <c r="B5" i="102"/>
  <c r="D4" i="101"/>
  <c r="B5" i="101"/>
  <c r="D4" i="100"/>
  <c r="C1" i="27"/>
  <c r="B11" i="27" s="1"/>
  <c r="B7" i="102" l="1"/>
  <c r="C37" i="103"/>
  <c r="B7" i="104"/>
  <c r="B4" i="100"/>
  <c r="B8" i="100" s="1"/>
  <c r="C40" i="100" s="1"/>
  <c r="C46" i="104"/>
  <c r="C53" i="104"/>
  <c r="D37" i="103"/>
  <c r="D34" i="103"/>
  <c r="D32" i="103"/>
  <c r="D35" i="103"/>
  <c r="D38" i="103"/>
  <c r="D33" i="103"/>
  <c r="D36" i="103"/>
  <c r="D31" i="103"/>
  <c r="B41" i="103" s="1"/>
  <c r="B27" i="99" s="1"/>
  <c r="D39" i="103"/>
  <c r="C34" i="103"/>
  <c r="H41" i="102"/>
  <c r="B4" i="102"/>
  <c r="B8" i="102" s="1"/>
  <c r="C62" i="102" s="1"/>
  <c r="B4" i="101"/>
  <c r="B8" i="101" s="1"/>
  <c r="B6" i="101"/>
  <c r="D35" i="100"/>
  <c r="D40" i="100"/>
  <c r="D42" i="100"/>
  <c r="D37" i="100"/>
  <c r="D33" i="100"/>
  <c r="D34" i="100"/>
  <c r="D41" i="100"/>
  <c r="D36" i="100"/>
  <c r="D32" i="100"/>
  <c r="D44" i="100"/>
  <c r="C44" i="100"/>
  <c r="C42" i="100"/>
  <c r="C43" i="100"/>
  <c r="C39" i="100"/>
  <c r="C32" i="100"/>
  <c r="C34" i="100"/>
  <c r="C35" i="100"/>
  <c r="C36" i="100"/>
  <c r="C38" i="100"/>
  <c r="C37" i="100"/>
  <c r="C33" i="100"/>
  <c r="D43" i="100"/>
  <c r="D38" i="100"/>
  <c r="C51" i="104"/>
  <c r="C54" i="104"/>
  <c r="C50" i="104"/>
  <c r="C48" i="104"/>
  <c r="C52" i="104"/>
  <c r="C45" i="104"/>
  <c r="C49" i="104"/>
  <c r="C47" i="104"/>
  <c r="C40" i="103"/>
  <c r="C36" i="103"/>
  <c r="C32" i="103"/>
  <c r="C39" i="103"/>
  <c r="C35" i="103"/>
  <c r="C38" i="103"/>
  <c r="C33" i="103"/>
  <c r="C45" i="102"/>
  <c r="C54" i="102"/>
  <c r="C57" i="102"/>
  <c r="C60" i="102"/>
  <c r="C48" i="102"/>
  <c r="H40" i="102"/>
  <c r="C33" i="102" s="1"/>
  <c r="C63" i="102"/>
  <c r="C58" i="102"/>
  <c r="C49" i="102"/>
  <c r="C56" i="102"/>
  <c r="C47" i="102"/>
  <c r="C55" i="102"/>
  <c r="C46" i="102"/>
  <c r="C53" i="102"/>
  <c r="C61" i="102"/>
  <c r="C52" i="102"/>
  <c r="D55" i="104"/>
  <c r="D52" i="104"/>
  <c r="D49" i="104"/>
  <c r="D46" i="104"/>
  <c r="D47" i="104"/>
  <c r="D54" i="104"/>
  <c r="D51" i="104"/>
  <c r="D48" i="104"/>
  <c r="D45" i="104"/>
  <c r="D50" i="104"/>
  <c r="D53" i="104"/>
  <c r="D63" i="102"/>
  <c r="D60" i="102"/>
  <c r="D57" i="102"/>
  <c r="D54" i="102"/>
  <c r="D51" i="102"/>
  <c r="D48" i="102"/>
  <c r="D45" i="102"/>
  <c r="D58" i="102"/>
  <c r="D46" i="102"/>
  <c r="D62" i="102"/>
  <c r="D59" i="102"/>
  <c r="D56" i="102"/>
  <c r="D53" i="102"/>
  <c r="D50" i="102"/>
  <c r="D47" i="102"/>
  <c r="D61" i="102"/>
  <c r="D55" i="102"/>
  <c r="D52" i="102"/>
  <c r="D49" i="102"/>
  <c r="C45" i="101"/>
  <c r="C42" i="101"/>
  <c r="C39" i="101"/>
  <c r="C36" i="101"/>
  <c r="C44" i="101"/>
  <c r="C41" i="101"/>
  <c r="C38" i="101"/>
  <c r="C43" i="101"/>
  <c r="C40" i="101"/>
  <c r="C37" i="101"/>
  <c r="D45" i="101"/>
  <c r="D42" i="101"/>
  <c r="D39" i="101"/>
  <c r="D36" i="101"/>
  <c r="D44" i="101"/>
  <c r="D41" i="101"/>
  <c r="D38" i="101"/>
  <c r="D43" i="101"/>
  <c r="D40" i="101"/>
  <c r="D37" i="101"/>
  <c r="D4" i="27"/>
  <c r="C41" i="100" l="1"/>
  <c r="C59" i="102"/>
  <c r="C51" i="102"/>
  <c r="C50" i="102"/>
  <c r="B64" i="102"/>
  <c r="B26" i="99" s="1"/>
  <c r="B56" i="104"/>
  <c r="B28" i="99" s="1"/>
  <c r="B46" i="101"/>
  <c r="B25" i="99" s="1"/>
  <c r="B45" i="100"/>
  <c r="B24" i="99" s="1"/>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C23" i="2"/>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23" i="2" l="1"/>
  <c r="D22" i="2"/>
  <c r="D153" i="2"/>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7F10D9E-3255-4792-B68F-120FE55DABA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65BA25A-C88B-40B7-AAC6-F23822195F8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2C4D3FF-558C-4544-9AB6-6633AC3F27DD}">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BC0753D-EDF0-4D7E-AEA6-3A49941EA15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6A44A531-023A-45ED-AE12-FF3585906F95}">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<sst xmlns="http://schemas.openxmlformats.org/spreadsheetml/2006/main" count="582" uniqueCount="210">
  <si>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</si>
  <si>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</si>
  <si>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</si>
  <si>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</si>
  <si>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</si>
  <si>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</si>
  <si>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</si>
  <si>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</si>
  <si>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</si>
  <si>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</si>
  <si>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</si>
  <si>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</si>
  <si>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</si>
  <si>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</si>
  <si>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</si>
  <si>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</si>
  <si>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</si>
  <si>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</si>
  <si>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</si>
  <si>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</si>
  <si>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</si>
  <si>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</si>
  <si>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</si>
  <si>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</si>
  <si>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</si>
  <si>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</si>
  <si>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</si>
  <si>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</si>
  <si>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</si>
  <si>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</si>
  <si>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</si>
  <si>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</si>
  <si>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</si>
  <si>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</si>
  <si>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</si>
  <si>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</si>
  <si>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</si>
  <si>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</si>
  <si>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Klas</t>
  </si>
  <si>
    <t>Beoordelaar 1</t>
  </si>
  <si>
    <t>Beoordelaar 2</t>
  </si>
  <si>
    <t>Kerntaken en werkprocessen</t>
  </si>
  <si>
    <t>Vaststellingsdatum</t>
  </si>
  <si>
    <t>Code beoordelingsformulier</t>
  </si>
  <si>
    <t>Examennaam en Examencode</t>
  </si>
  <si>
    <t>[Examennaam]</t>
  </si>
  <si>
    <t>Kwalificatiedossier en Cohort</t>
  </si>
  <si>
    <t>Profiel en crebocode</t>
  </si>
  <si>
    <t>Code</t>
  </si>
  <si>
    <t>Naam</t>
  </si>
  <si>
    <t>EersteOpdracht</t>
  </si>
  <si>
    <t>LaatsteOpdracht</t>
  </si>
  <si>
    <t>TekstSamengevoegd</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</si>
  <si>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</si>
  <si>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</si>
  <si>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</si>
  <si>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</si>
  <si>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</si>
  <si>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</si>
  <si>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</si>
  <si>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</si>
  <si>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</si>
  <si>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</si>
  <si>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</si>
  <si>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</si>
  <si>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</si>
  <si>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Studentnummer</t>
  </si>
  <si>
    <t>B1-K1-W1</t>
  </si>
  <si>
    <t>B1-K1-W2</t>
  </si>
  <si>
    <t>B1-K1-W3</t>
  </si>
  <si>
    <t>B1-K1-W4</t>
  </si>
  <si>
    <t>B1-K1-W5</t>
  </si>
  <si>
    <t>Plant werkzaamheden en bewaakt de voortgang</t>
  </si>
  <si>
    <t>Ontwerpt software</t>
  </si>
  <si>
    <t>Realiseert (onderdelen van) software</t>
  </si>
  <si>
    <t>Test software</t>
  </si>
  <si>
    <t>Doet verbetervoorstellen voor de software</t>
  </si>
  <si>
    <t>P1: Software developer, 4</t>
  </si>
  <si>
    <t>2020 en verder</t>
  </si>
  <si>
    <t>Softwaredevelopment</t>
  </si>
  <si>
    <t>Realiseert software</t>
  </si>
  <si>
    <t>B1-K1</t>
  </si>
  <si>
    <t>Student</t>
  </si>
  <si>
    <t>T1, T2, T3, T4</t>
  </si>
  <si>
    <t xml:space="preserve">Eisen/wensen user stories </t>
  </si>
  <si>
    <t>De uitgangspunten zijn juist verwerkt (Definition of done) en de eisen en wensen zijn verwerkt in de user stories.
Niet of nauwelijks</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</si>
  <si>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</si>
  <si>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</si>
  <si>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</si>
  <si>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</si>
  <si>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</si>
  <si>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</si>
  <si>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</si>
  <si>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T4</t>
  </si>
  <si>
    <t>Ontwerp</t>
  </si>
  <si>
    <t>De voortgang is bewaakt en de juiste keuzes/afwegingen zijn gemaakt op basis van prioriteiten.
Niet of nauwelijks</t>
  </si>
  <si>
    <t>Enigszins</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</si>
  <si>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</si>
  <si>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</si>
  <si>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</si>
  <si>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</si>
  <si>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</si>
  <si>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</si>
  <si>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Er is voldoende inhoud van de user stories gerealiseerd binnen de gestelde/geplande tijd.
Niet of nauwelijks</t>
  </si>
  <si>
    <t>Gerealiseerde user stories</t>
  </si>
  <si>
    <t>Kwaliteit opgeleverde functionaliteiten</t>
  </si>
  <si>
    <t>De opgeleverde functionaliteiten voldoen aan de eisen en wensen zoals omschreven in de betreffende user story.
Niet of nauwelijks</t>
  </si>
  <si>
    <t>Kwaliteit code</t>
  </si>
  <si>
    <t>Code conventions</t>
  </si>
  <si>
    <t>De code is opgesteld volgens code conventions.
Niet of nauwelijks</t>
  </si>
  <si>
    <t>De kwaliteit van de code is goed. Dit uit zich onder andere in: structuur van de code, validatie, efficiëntie, foutafhandeling en terugkoppeling, security (veilig programmeren). 
Niet of nauwelijks</t>
  </si>
  <si>
    <t>Verzorging code</t>
  </si>
  <si>
    <t>De code is verzorgd, leesbaar, gestructureerd en voorzien van zinvol commentaar.
Niet of nauwelijks</t>
  </si>
  <si>
    <t>Versiebeheer</t>
  </si>
  <si>
    <t>Versiebeheer is effectief toegepast.
Niet of nauwelijks</t>
  </si>
  <si>
    <t>Testplan</t>
  </si>
  <si>
    <t>T6</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</si>
  <si>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</si>
  <si>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</si>
  <si>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</si>
  <si>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</si>
  <si>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</si>
  <si>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Testen</t>
  </si>
  <si>
    <t>T9</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</si>
  <si>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</si>
  <si>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</si>
  <si>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</si>
  <si>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</si>
  <si>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</si>
  <si>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</si>
  <si>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De examinator(en) is/zijn overtuigd van de authenticiteit van het gemaakte werk van de kandidaat. 
Nee</t>
  </si>
  <si>
    <t>Authenticiteit</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</si>
  <si>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</si>
  <si>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</si>
  <si>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</si>
  <si>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</si>
  <si>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</si>
  <si>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</si>
  <si>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</si>
  <si>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</si>
  <si>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</si>
  <si>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</si>
  <si>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</si>
  <si>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</si>
  <si>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</si>
  <si>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</si>
  <si>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</si>
  <si>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</si>
  <si>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</si>
  <si>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</si>
  <si>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</si>
  <si>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</si>
  <si>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</si>
  <si>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</si>
  <si>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</si>
  <si>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</si>
  <si>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</si>
  <si>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</si>
  <si>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</si>
  <si>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</si>
  <si>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</si>
  <si>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</si>
  <si>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</si>
  <si>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</si>
  <si>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</si>
  <si>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</si>
  <si>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</si>
  <si>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</si>
  <si>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</si>
  <si>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Beslissing B1-K1-W3</t>
  </si>
  <si>
    <t>Zijn alle cruciale criteria behaald?</t>
  </si>
  <si>
    <t>Reik cijfer uit volgens cijfertabel</t>
  </si>
  <si>
    <t>Onvoldoende</t>
  </si>
  <si>
    <t>Beoordeling opdracht 4</t>
  </si>
  <si>
    <t>Beslissing B1-K1-W4</t>
  </si>
  <si>
    <t>Beoordeling opdracht 5</t>
  </si>
  <si>
    <t>B1-K1-W5-5</t>
  </si>
  <si>
    <t>Beoordeling opdracht 6</t>
  </si>
  <si>
    <t>B1-K1-W5-6</t>
  </si>
  <si>
    <t>B1-K1-W5-6-1</t>
  </si>
  <si>
    <t>Beslissing B1-K1-W5</t>
  </si>
  <si>
    <t xml:space="preserve"> [Vul alleen de gele cellen in]</t>
  </si>
  <si>
    <t>Resultaat</t>
  </si>
  <si>
    <t>[Laat de rode cellen leeg. Excel vult het resultaat automatisch in na beoordeling van de werkprocessen.]</t>
  </si>
  <si>
    <t>Handtekening beoordelaar 1</t>
  </si>
  <si>
    <t>Handtekening beoordelaar 2</t>
  </si>
  <si>
    <t>BF_SD_SD20_B1-K1_2</t>
  </si>
  <si>
    <t>B1-K1-W2-1</t>
  </si>
  <si>
    <t>B1-K1-W2-1-1</t>
  </si>
  <si>
    <t>B1-K1-W2-1-2</t>
  </si>
  <si>
    <t>B1-K1-W2-1-3</t>
  </si>
  <si>
    <t>B1-K1-W3-2</t>
  </si>
  <si>
    <t>B1-K1-W3-2-1</t>
  </si>
  <si>
    <t>B1-K1-W3-2-2</t>
  </si>
  <si>
    <t>B1-K1-W3-2-3</t>
  </si>
  <si>
    <t>B1-K1-W3-2-4</t>
  </si>
  <si>
    <t>B1-K1-W3-2-5</t>
  </si>
  <si>
    <t>B1-K1-W3-2-6</t>
  </si>
  <si>
    <t>B1-K1-W4-3</t>
  </si>
  <si>
    <t>B1-K1-W4-3-1</t>
  </si>
  <si>
    <t>B1-K1-W4-3-2</t>
  </si>
  <si>
    <t>B1-K1-W4-3-3</t>
  </si>
  <si>
    <t>B1-K1-W5-4</t>
  </si>
  <si>
    <t>B1-K1-W5-4-1</t>
  </si>
  <si>
    <t>B1-K1-W5-4-2</t>
  </si>
  <si>
    <t>B1-K1-W5-4-3</t>
  </si>
  <si>
    <t>Praktijkexamen</t>
  </si>
  <si>
    <t>SD_SD20-B1-K1-2_1v1</t>
  </si>
  <si>
    <t>Shibin Pan</t>
  </si>
  <si>
    <t>SEITO-21A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</si>
</sst>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rgb="FF000000"/>
      <name val="Calibri"/>
      <family val="2"/>
    </font>
    <font>
      <b/>
      <sz val="11"/>
      <color rgb="FFFFFFFF"/>
      <name val="Calibri"/>
      <family val="2"/>
      <scheme val="minor"/>
    </font>
    <font>
      <u/>
      <sz val="14"/>
      <color theme="1"/>
      <name val="Calibri"/>
      <family val="2"/>
      <scheme val="minor"/>
    </font>
    <font>
      <i/>
      <sz val="11"/>
      <color theme="1"/>
      <name val="Calibri"/>
      <family val="2"/>
      <scheme val="minor"/>
    </font>
    <font>
      <sz val="8"/>
      <color rgb="FF000000"/>
      <name val="Segoe UI"/>
      <family val="2"/>
    </font>
  </fonts>
  <fills count="20">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rgb="FF8EAADB"/>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6">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0" fillId="11" borderId="0" xfId="0" applyFill="1" applyAlignment="1">
      <alignment horizontal="left" indent="3"/>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11" fillId="11" borderId="0" xfId="0" applyFont="1" applyFill="1" applyAlignment="1">
      <alignment horizontal="left"/>
    </xf>
    <xf numFmtId="0" fontId="11"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3" fillId="0" borderId="0" xfId="0" applyFont="1" applyAlignment="1">
      <alignment horizontal="left" vertical="top" wrapText="1"/>
    </xf>
    <xf numFmtId="0" fontId="0" fillId="16" borderId="17" xfId="0" applyFill="1" applyBorder="1" applyAlignment="1">
      <alignment vertical="center" wrapText="1"/>
    </xf>
    <xf numFmtId="0" fontId="0" fillId="16" borderId="18" xfId="0" applyFill="1" applyBorder="1" applyAlignment="1">
      <alignment vertical="center" wrapText="1"/>
    </xf>
    <xf numFmtId="164" fontId="0" fillId="18" borderId="11" xfId="0" quotePrefix="1" applyNumberFormat="1" applyFill="1" applyBorder="1" applyAlignment="1">
      <alignment horizontal="left"/>
    </xf>
    <xf numFmtId="49" fontId="5" fillId="19" borderId="19" xfId="0" applyNumberFormat="1" applyFont="1" applyFill="1" applyBorder="1" applyAlignment="1">
      <alignment horizontal="left"/>
    </xf>
    <xf numFmtId="49" fontId="0" fillId="0" borderId="0" xfId="0" applyNumberFormat="1"/>
    <xf numFmtId="49" fontId="5" fillId="19" borderId="20" xfId="0" applyNumberFormat="1" applyFont="1" applyFill="1" applyBorder="1" applyAlignment="1">
      <alignment horizontal="left"/>
    </xf>
    <xf numFmtId="49" fontId="5" fillId="19"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1" fontId="0" fillId="15" borderId="7" xfId="0" applyNumberFormat="1" applyFill="1" applyBorder="1" applyAlignment="1" applyProtection="1">
      <alignment horizontal="left"/>
      <protection locked="0"/>
    </xf>
    <xf numFmtId="1" fontId="0" fillId="15" borderId="9" xfId="0" applyNumberFormat="1" applyFill="1" applyBorder="1" applyAlignment="1" applyProtection="1">
      <alignment horizontal="left"/>
      <protection locked="0"/>
    </xf>
    <xf numFmtId="49" fontId="0" fillId="15" borderId="7" xfId="0" applyNumberFormat="1" applyFill="1" applyBorder="1" applyAlignment="1" applyProtection="1">
      <alignment horizontal="left"/>
      <protection locked="0"/>
    </xf>
    <xf numFmtId="49" fontId="0" fillId="15" borderId="9" xfId="0" applyNumberFormat="1" applyFill="1" applyBorder="1" applyAlignment="1" applyProtection="1">
      <alignment horizontal="left"/>
      <protection locked="0"/>
    </xf>
    <xf numFmtId="0" fontId="13" fillId="17" borderId="0" xfId="0" applyFont="1" applyFill="1" applyAlignment="1">
      <alignment vertical="top" wrapText="1"/>
    </xf>
    <xf numFmtId="0" fontId="0" fillId="14" borderId="7" xfId="0" applyFill="1" applyBorder="1" applyAlignment="1">
      <alignment horizontal="center" vertical="center"/>
    </xf>
    <xf numFmtId="0" fontId="0" fillId="14" borderId="5" xfId="0" applyFill="1" applyBorder="1" applyAlignment="1">
      <alignment horizontal="center" vertical="center"/>
    </xf>
    <xf numFmtId="0" fontId="0" fillId="14" borderId="9" xfId="0" applyFill="1" applyBorder="1" applyAlignment="1">
      <alignment horizontal="center" vertical="center"/>
    </xf>
    <xf numFmtId="14" fontId="0" fillId="15" borderId="7" xfId="0" applyNumberFormat="1" applyFill="1" applyBorder="1" applyAlignment="1" applyProtection="1">
      <alignment horizontal="left"/>
      <protection locked="0"/>
    </xf>
    <xf numFmtId="14" fontId="0" fillId="15" borderId="9" xfId="0" applyNumberFormat="1" applyFill="1" applyBorder="1" applyAlignment="1" applyProtection="1">
      <alignment horizontal="left"/>
      <protection locked="0"/>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fmlaLink="'B1-K1-W3'!$H$35" lockText="1" noThreeD="1"/>
</file>

<file path=xl/ctrlProps/ctrlProp61.xml><?xml version="1.0" encoding="utf-8"?>
<formControlPr xmlns="http://schemas.microsoft.com/office/spreadsheetml/2009/9/main" objectType="CheckBox" checked="Checked" fmlaLink="'B1-K1-W3'!$I$35" lockText="1" noThreeD="1"/>
</file>

<file path=xl/ctrlProps/ctrlProp62.xml><?xml version="1.0" encoding="utf-8"?>
<formControlPr xmlns="http://schemas.microsoft.com/office/spreadsheetml/2009/9/main" objectType="CheckBox" fmlaLink="'B1-K1-W3'!$H$36" lockText="1" noThreeD="1"/>
</file>

<file path=xl/ctrlProps/ctrlProp63.xml><?xml version="1.0" encoding="utf-8"?>
<formControlPr xmlns="http://schemas.microsoft.com/office/spreadsheetml/2009/9/main" objectType="CheckBox" checked="Checked" fmlaLink="'B1-K1-W3'!$I$36" lockText="1" noThreeD="1"/>
</file>

<file path=xl/ctrlProps/ctrlProp64.xml><?xml version="1.0" encoding="utf-8"?>
<formControlPr xmlns="http://schemas.microsoft.com/office/spreadsheetml/2009/9/main" objectType="CheckBox" fmlaLink="'B1-K1-W3'!$H$40" lockText="1" noThreeD="1"/>
</file>

<file path=xl/ctrlProps/ctrlProp65.xml><?xml version="1.0" encoding="utf-8"?>
<formControlPr xmlns="http://schemas.microsoft.com/office/spreadsheetml/2009/9/main" objectType="CheckBox" checked="Checked"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5" lockText="1" noThreeD="1"/>
</file>

<file path=xl/ctrlProps/ctrlProp95.xml><?xml version="1.0" encoding="utf-8"?>
<formControlPr xmlns="http://schemas.microsoft.com/office/spreadsheetml/2009/9/main" objectType="CheckBox" fmlaLink="'B1-K1-W5'!$J$35"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1082040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327660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xdr:colOff>
          <xdr:row>0</xdr:row>
          <xdr:rowOff>60960</xdr:rowOff>
        </xdr:from>
        <xdr:to>
          <xdr:col>7</xdr:col>
          <xdr:colOff>1577340</xdr:colOff>
          <xdr:row>0</xdr:row>
          <xdr:rowOff>327660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0600-000002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0600-000003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0600-000004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0600-000005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600-000006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600-000007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600-000008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600-000009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600-00000A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600-00000B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9404" name="Check Box 12" hidden="1">
              <a:extLst>
                <a:ext uri="{63B3BB69-23CF-44E3-9099-C40C66FF867C}">
                  <a14:compatExt spid="_x0000_s59404"/>
                </a:ext>
                <a:ext uri="{FF2B5EF4-FFF2-40B4-BE49-F238E27FC236}">
                  <a16:creationId xmlns:a16="http://schemas.microsoft.com/office/drawing/2014/main" id="{00000000-0008-0000-0600-00000C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9405" name="Check Box 13" hidden="1">
              <a:extLst>
                <a:ext uri="{63B3BB69-23CF-44E3-9099-C40C66FF867C}">
                  <a14:compatExt spid="_x0000_s59405"/>
                </a:ext>
                <a:ext uri="{FF2B5EF4-FFF2-40B4-BE49-F238E27FC236}">
                  <a16:creationId xmlns:a16="http://schemas.microsoft.com/office/drawing/2014/main" id="{00000000-0008-0000-0600-00000D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9406" name="Check Box 14" hidden="1">
              <a:extLst>
                <a:ext uri="{63B3BB69-23CF-44E3-9099-C40C66FF867C}">
                  <a14:compatExt spid="_x0000_s59406"/>
                </a:ext>
                <a:ext uri="{FF2B5EF4-FFF2-40B4-BE49-F238E27FC236}">
                  <a16:creationId xmlns:a16="http://schemas.microsoft.com/office/drawing/2014/main" id="{00000000-0008-0000-0600-00000E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9407" name="Check Box 15" hidden="1">
              <a:extLst>
                <a:ext uri="{63B3BB69-23CF-44E3-9099-C40C66FF867C}">
                  <a14:compatExt spid="_x0000_s59407"/>
                </a:ext>
                <a:ext uri="{FF2B5EF4-FFF2-40B4-BE49-F238E27FC236}">
                  <a16:creationId xmlns:a16="http://schemas.microsoft.com/office/drawing/2014/main" id="{00000000-0008-0000-0600-00000F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9408" name="Check Box 16" hidden="1">
              <a:extLst>
                <a:ext uri="{63B3BB69-23CF-44E3-9099-C40C66FF867C}">
                  <a14:compatExt spid="_x0000_s59408"/>
                </a:ext>
                <a:ext uri="{FF2B5EF4-FFF2-40B4-BE49-F238E27FC236}">
                  <a16:creationId xmlns:a16="http://schemas.microsoft.com/office/drawing/2014/main" id="{00000000-0008-0000-0600-000010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9409" name="Check Box 17" hidden="1">
              <a:extLst>
                <a:ext uri="{63B3BB69-23CF-44E3-9099-C40C66FF867C}">
                  <a14:compatExt spid="_x0000_s59409"/>
                </a:ext>
                <a:ext uri="{FF2B5EF4-FFF2-40B4-BE49-F238E27FC236}">
                  <a16:creationId xmlns:a16="http://schemas.microsoft.com/office/drawing/2014/main" id="{00000000-0008-0000-0600-000011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9410" name="Check Box 18" hidden="1">
              <a:extLst>
                <a:ext uri="{63B3BB69-23CF-44E3-9099-C40C66FF867C}">
                  <a14:compatExt spid="_x0000_s59410"/>
                </a:ext>
                <a:ext uri="{FF2B5EF4-FFF2-40B4-BE49-F238E27FC236}">
                  <a16:creationId xmlns:a16="http://schemas.microsoft.com/office/drawing/2014/main" id="{00000000-0008-0000-0600-000012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9411" name="Check Box 19" hidden="1">
              <a:extLst>
                <a:ext uri="{63B3BB69-23CF-44E3-9099-C40C66FF867C}">
                  <a14:compatExt spid="_x0000_s59411"/>
                </a:ext>
                <a:ext uri="{FF2B5EF4-FFF2-40B4-BE49-F238E27FC236}">
                  <a16:creationId xmlns:a16="http://schemas.microsoft.com/office/drawing/2014/main" id="{00000000-0008-0000-0600-000013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0418" name="Check Box 2" hidden="1">
              <a:extLst>
                <a:ext uri="{63B3BB69-23CF-44E3-9099-C40C66FF867C}">
                  <a14:compatExt spid="_x0000_s60418"/>
                </a:ext>
                <a:ext uri="{FF2B5EF4-FFF2-40B4-BE49-F238E27FC236}">
                  <a16:creationId xmlns:a16="http://schemas.microsoft.com/office/drawing/2014/main" id="{00000000-0008-0000-0700-000002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0419" name="Check Box 3"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0420" name="Check Box 4" hidden="1">
              <a:extLst>
                <a:ext uri="{63B3BB69-23CF-44E3-9099-C40C66FF867C}">
                  <a14:compatExt spid="_x0000_s60420"/>
                </a:ext>
                <a:ext uri="{FF2B5EF4-FFF2-40B4-BE49-F238E27FC236}">
                  <a16:creationId xmlns:a16="http://schemas.microsoft.com/office/drawing/2014/main" id="{00000000-0008-0000-0700-000004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0421" name="Check Box 5" hidden="1">
              <a:extLst>
                <a:ext uri="{63B3BB69-23CF-44E3-9099-C40C66FF867C}">
                  <a14:compatExt spid="_x0000_s60421"/>
                </a:ext>
                <a:ext uri="{FF2B5EF4-FFF2-40B4-BE49-F238E27FC236}">
                  <a16:creationId xmlns:a16="http://schemas.microsoft.com/office/drawing/2014/main" id="{00000000-0008-0000-0700-000005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0422" name="Check Box 6" hidden="1">
              <a:extLst>
                <a:ext uri="{63B3BB69-23CF-44E3-9099-C40C66FF867C}">
                  <a14:compatExt spid="_x0000_s60422"/>
                </a:ext>
                <a:ext uri="{FF2B5EF4-FFF2-40B4-BE49-F238E27FC236}">
                  <a16:creationId xmlns:a16="http://schemas.microsoft.com/office/drawing/2014/main" id="{00000000-0008-0000-0700-000006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0423" name="Check Box 7" hidden="1">
              <a:extLst>
                <a:ext uri="{63B3BB69-23CF-44E3-9099-C40C66FF867C}">
                  <a14:compatExt spid="_x0000_s60423"/>
                </a:ext>
                <a:ext uri="{FF2B5EF4-FFF2-40B4-BE49-F238E27FC236}">
                  <a16:creationId xmlns:a16="http://schemas.microsoft.com/office/drawing/2014/main" id="{00000000-0008-0000-0700-000007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0424" name="Check Box 8" hidden="1">
              <a:extLst>
                <a:ext uri="{63B3BB69-23CF-44E3-9099-C40C66FF867C}">
                  <a14:compatExt spid="_x0000_s60424"/>
                </a:ext>
                <a:ext uri="{FF2B5EF4-FFF2-40B4-BE49-F238E27FC236}">
                  <a16:creationId xmlns:a16="http://schemas.microsoft.com/office/drawing/2014/main" id="{00000000-0008-0000-0700-000008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0425" name="Check Box 9" hidden="1">
              <a:extLst>
                <a:ext uri="{63B3BB69-23CF-44E3-9099-C40C66FF867C}">
                  <a14:compatExt spid="_x0000_s60425"/>
                </a:ext>
                <a:ext uri="{FF2B5EF4-FFF2-40B4-BE49-F238E27FC236}">
                  <a16:creationId xmlns:a16="http://schemas.microsoft.com/office/drawing/2014/main" id="{00000000-0008-0000-0700-000009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0426" name="Check Box 10" hidden="1">
              <a:extLst>
                <a:ext uri="{63B3BB69-23CF-44E3-9099-C40C66FF867C}">
                  <a14:compatExt spid="_x0000_s60426"/>
                </a:ext>
                <a:ext uri="{FF2B5EF4-FFF2-40B4-BE49-F238E27FC236}">
                  <a16:creationId xmlns:a16="http://schemas.microsoft.com/office/drawing/2014/main" id="{00000000-0008-0000-0700-00000A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0427" name="Check Box 11" hidden="1">
              <a:extLst>
                <a:ext uri="{63B3BB69-23CF-44E3-9099-C40C66FF867C}">
                  <a14:compatExt spid="_x0000_s60427"/>
                </a:ext>
                <a:ext uri="{FF2B5EF4-FFF2-40B4-BE49-F238E27FC236}">
                  <a16:creationId xmlns:a16="http://schemas.microsoft.com/office/drawing/2014/main" id="{00000000-0008-0000-0700-00000B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0428" name="Check Box 12" hidden="1">
              <a:extLst>
                <a:ext uri="{63B3BB69-23CF-44E3-9099-C40C66FF867C}">
                  <a14:compatExt spid="_x0000_s60428"/>
                </a:ext>
                <a:ext uri="{FF2B5EF4-FFF2-40B4-BE49-F238E27FC236}">
                  <a16:creationId xmlns:a16="http://schemas.microsoft.com/office/drawing/2014/main" id="{00000000-0008-0000-0700-00000C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0429" name="Check Box 13" hidden="1">
              <a:extLst>
                <a:ext uri="{63B3BB69-23CF-44E3-9099-C40C66FF867C}">
                  <a14:compatExt spid="_x0000_s60429"/>
                </a:ext>
                <a:ext uri="{FF2B5EF4-FFF2-40B4-BE49-F238E27FC236}">
                  <a16:creationId xmlns:a16="http://schemas.microsoft.com/office/drawing/2014/main" id="{00000000-0008-0000-0700-00000D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700-00000E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700-00000F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1442" name="Check Box 2"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1443" name="Check Box 3"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0800-000004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1445" name="Check Box 5" hidden="1">
              <a:extLst>
                <a:ext uri="{63B3BB69-23CF-44E3-9099-C40C66FF867C}">
                  <a14:compatExt spid="_x0000_s61445"/>
                </a:ext>
                <a:ext uri="{FF2B5EF4-FFF2-40B4-BE49-F238E27FC236}">
                  <a16:creationId xmlns:a16="http://schemas.microsoft.com/office/drawing/2014/main" id="{00000000-0008-0000-0800-000005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1446" name="Check Box 6" hidden="1">
              <a:extLst>
                <a:ext uri="{63B3BB69-23CF-44E3-9099-C40C66FF867C}">
                  <a14:compatExt spid="_x0000_s61446"/>
                </a:ext>
                <a:ext uri="{FF2B5EF4-FFF2-40B4-BE49-F238E27FC236}">
                  <a16:creationId xmlns:a16="http://schemas.microsoft.com/office/drawing/2014/main" id="{00000000-0008-0000-0800-000006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1447" name="Check Box 7" hidden="1">
              <a:extLst>
                <a:ext uri="{63B3BB69-23CF-44E3-9099-C40C66FF867C}">
                  <a14:compatExt spid="_x0000_s61447"/>
                </a:ext>
                <a:ext uri="{FF2B5EF4-FFF2-40B4-BE49-F238E27FC236}">
                  <a16:creationId xmlns:a16="http://schemas.microsoft.com/office/drawing/2014/main" id="{00000000-0008-0000-0800-000007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1448" name="Check Box 8" hidden="1">
              <a:extLst>
                <a:ext uri="{63B3BB69-23CF-44E3-9099-C40C66FF867C}">
                  <a14:compatExt spid="_x0000_s61448"/>
                </a:ext>
                <a:ext uri="{FF2B5EF4-FFF2-40B4-BE49-F238E27FC236}">
                  <a16:creationId xmlns:a16="http://schemas.microsoft.com/office/drawing/2014/main" id="{00000000-0008-0000-0800-000008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1449" name="Check Box 9" hidden="1">
              <a:extLst>
                <a:ext uri="{63B3BB69-23CF-44E3-9099-C40C66FF867C}">
                  <a14:compatExt spid="_x0000_s61449"/>
                </a:ext>
                <a:ext uri="{FF2B5EF4-FFF2-40B4-BE49-F238E27FC236}">
                  <a16:creationId xmlns:a16="http://schemas.microsoft.com/office/drawing/2014/main" id="{00000000-0008-0000-0800-000009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1450" name="Check Box 10" hidden="1">
              <a:extLst>
                <a:ext uri="{63B3BB69-23CF-44E3-9099-C40C66FF867C}">
                  <a14:compatExt spid="_x0000_s61450"/>
                </a:ext>
                <a:ext uri="{FF2B5EF4-FFF2-40B4-BE49-F238E27FC236}">
                  <a16:creationId xmlns:a16="http://schemas.microsoft.com/office/drawing/2014/main" id="{00000000-0008-0000-0800-00000A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1451" name="Check Box 11" hidden="1">
              <a:extLst>
                <a:ext uri="{63B3BB69-23CF-44E3-9099-C40C66FF867C}">
                  <a14:compatExt spid="_x0000_s61451"/>
                </a:ext>
                <a:ext uri="{FF2B5EF4-FFF2-40B4-BE49-F238E27FC236}">
                  <a16:creationId xmlns:a16="http://schemas.microsoft.com/office/drawing/2014/main" id="{00000000-0008-0000-0800-00000B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1452" name="Check Box 12" hidden="1">
              <a:extLst>
                <a:ext uri="{63B3BB69-23CF-44E3-9099-C40C66FF867C}">
                  <a14:compatExt spid="_x0000_s61452"/>
                </a:ext>
                <a:ext uri="{FF2B5EF4-FFF2-40B4-BE49-F238E27FC236}">
                  <a16:creationId xmlns:a16="http://schemas.microsoft.com/office/drawing/2014/main" id="{00000000-0008-0000-0800-00000C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1453" name="Check Box 13" hidden="1">
              <a:extLst>
                <a:ext uri="{63B3BB69-23CF-44E3-9099-C40C66FF867C}">
                  <a14:compatExt spid="_x0000_s61453"/>
                </a:ext>
                <a:ext uri="{FF2B5EF4-FFF2-40B4-BE49-F238E27FC236}">
                  <a16:creationId xmlns:a16="http://schemas.microsoft.com/office/drawing/2014/main" id="{00000000-0008-0000-0800-00000D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1454" name="Check Box 14" hidden="1">
              <a:extLst>
                <a:ext uri="{63B3BB69-23CF-44E3-9099-C40C66FF867C}">
                  <a14:compatExt spid="_x0000_s61454"/>
                </a:ext>
                <a:ext uri="{FF2B5EF4-FFF2-40B4-BE49-F238E27FC236}">
                  <a16:creationId xmlns:a16="http://schemas.microsoft.com/office/drawing/2014/main" id="{00000000-0008-0000-0800-00000E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1455" name="Check Box 15" hidden="1">
              <a:extLst>
                <a:ext uri="{63B3BB69-23CF-44E3-9099-C40C66FF867C}">
                  <a14:compatExt spid="_x0000_s61455"/>
                </a:ext>
                <a:ext uri="{FF2B5EF4-FFF2-40B4-BE49-F238E27FC236}">
                  <a16:creationId xmlns:a16="http://schemas.microsoft.com/office/drawing/2014/main" id="{00000000-0008-0000-0800-00000F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1456" name="Check Box 16" hidden="1">
              <a:extLst>
                <a:ext uri="{63B3BB69-23CF-44E3-9099-C40C66FF867C}">
                  <a14:compatExt spid="_x0000_s61456"/>
                </a:ext>
                <a:ext uri="{FF2B5EF4-FFF2-40B4-BE49-F238E27FC236}">
                  <a16:creationId xmlns:a16="http://schemas.microsoft.com/office/drawing/2014/main" id="{00000000-0008-0000-0800-000010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1457" name="Check Box 17" hidden="1">
              <a:extLst>
                <a:ext uri="{63B3BB69-23CF-44E3-9099-C40C66FF867C}">
                  <a14:compatExt spid="_x0000_s61457"/>
                </a:ext>
                <a:ext uri="{FF2B5EF4-FFF2-40B4-BE49-F238E27FC236}">
                  <a16:creationId xmlns:a16="http://schemas.microsoft.com/office/drawing/2014/main" id="{00000000-0008-0000-0800-000011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61458" name="Check Box 18" hidden="1">
              <a:extLst>
                <a:ext uri="{63B3BB69-23CF-44E3-9099-C40C66FF867C}">
                  <a14:compatExt spid="_x0000_s61458"/>
                </a:ext>
                <a:ext uri="{FF2B5EF4-FFF2-40B4-BE49-F238E27FC236}">
                  <a16:creationId xmlns:a16="http://schemas.microsoft.com/office/drawing/2014/main" id="{00000000-0008-0000-0800-000012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61459" name="Check Box 19" hidden="1">
              <a:extLst>
                <a:ext uri="{63B3BB69-23CF-44E3-9099-C40C66FF867C}">
                  <a14:compatExt spid="_x0000_s61459"/>
                </a:ext>
                <a:ext uri="{FF2B5EF4-FFF2-40B4-BE49-F238E27FC236}">
                  <a16:creationId xmlns:a16="http://schemas.microsoft.com/office/drawing/2014/main" id="{00000000-0008-0000-0800-000013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61460" name="Check Box 20" hidden="1">
              <a:extLst>
                <a:ext uri="{63B3BB69-23CF-44E3-9099-C40C66FF867C}">
                  <a14:compatExt spid="_x0000_s61460"/>
                </a:ext>
                <a:ext uri="{FF2B5EF4-FFF2-40B4-BE49-F238E27FC236}">
                  <a16:creationId xmlns:a16="http://schemas.microsoft.com/office/drawing/2014/main" id="{00000000-0008-0000-0800-000014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61461" name="Check Box 21" hidden="1">
              <a:extLst>
                <a:ext uri="{63B3BB69-23CF-44E3-9099-C40C66FF867C}">
                  <a14:compatExt spid="_x0000_s61461"/>
                </a:ext>
                <a:ext uri="{FF2B5EF4-FFF2-40B4-BE49-F238E27FC236}">
                  <a16:creationId xmlns:a16="http://schemas.microsoft.com/office/drawing/2014/main" id="{00000000-0008-0000-0800-000015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61462" name="Check Box 22" hidden="1">
              <a:extLst>
                <a:ext uri="{63B3BB69-23CF-44E3-9099-C40C66FF867C}">
                  <a14:compatExt spid="_x0000_s61462"/>
                </a:ext>
                <a:ext uri="{FF2B5EF4-FFF2-40B4-BE49-F238E27FC236}">
                  <a16:creationId xmlns:a16="http://schemas.microsoft.com/office/drawing/2014/main" id="{00000000-0008-0000-0800-000016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61463" name="Check Box 23" hidden="1">
              <a:extLst>
                <a:ext uri="{63B3BB69-23CF-44E3-9099-C40C66FF867C}">
                  <a14:compatExt spid="_x0000_s61463"/>
                </a:ext>
                <a:ext uri="{FF2B5EF4-FFF2-40B4-BE49-F238E27FC236}">
                  <a16:creationId xmlns:a16="http://schemas.microsoft.com/office/drawing/2014/main" id="{00000000-0008-0000-0800-000017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61464" name="Check Box 24" hidden="1">
              <a:extLst>
                <a:ext uri="{63B3BB69-23CF-44E3-9099-C40C66FF867C}">
                  <a14:compatExt spid="_x0000_s61464"/>
                </a:ext>
                <a:ext uri="{FF2B5EF4-FFF2-40B4-BE49-F238E27FC236}">
                  <a16:creationId xmlns:a16="http://schemas.microsoft.com/office/drawing/2014/main" id="{00000000-0008-0000-0800-000018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61465" name="Check Box 25" hidden="1">
              <a:extLst>
                <a:ext uri="{63B3BB69-23CF-44E3-9099-C40C66FF867C}">
                  <a14:compatExt spid="_x0000_s61465"/>
                </a:ext>
                <a:ext uri="{FF2B5EF4-FFF2-40B4-BE49-F238E27FC236}">
                  <a16:creationId xmlns:a16="http://schemas.microsoft.com/office/drawing/2014/main" id="{00000000-0008-0000-0800-000019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61466" name="Check Box 26" hidden="1">
              <a:extLst>
                <a:ext uri="{63B3BB69-23CF-44E3-9099-C40C66FF867C}">
                  <a14:compatExt spid="_x0000_s61466"/>
                </a:ext>
                <a:ext uri="{FF2B5EF4-FFF2-40B4-BE49-F238E27FC236}">
                  <a16:creationId xmlns:a16="http://schemas.microsoft.com/office/drawing/2014/main" id="{00000000-0008-0000-0800-00001A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61467" name="Check Box 27" hidden="1">
              <a:extLst>
                <a:ext uri="{63B3BB69-23CF-44E3-9099-C40C66FF867C}">
                  <a14:compatExt spid="_x0000_s61467"/>
                </a:ext>
                <a:ext uri="{FF2B5EF4-FFF2-40B4-BE49-F238E27FC236}">
                  <a16:creationId xmlns:a16="http://schemas.microsoft.com/office/drawing/2014/main" id="{00000000-0008-0000-0800-00001B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61468" name="Check Box 28" hidden="1">
              <a:extLst>
                <a:ext uri="{63B3BB69-23CF-44E3-9099-C40C66FF867C}">
                  <a14:compatExt spid="_x0000_s61468"/>
                </a:ext>
                <a:ext uri="{FF2B5EF4-FFF2-40B4-BE49-F238E27FC236}">
                  <a16:creationId xmlns:a16="http://schemas.microsoft.com/office/drawing/2014/main" id="{00000000-0008-0000-0800-00001C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61469" name="Check Box 29" hidden="1">
              <a:extLst>
                <a:ext uri="{63B3BB69-23CF-44E3-9099-C40C66FF867C}">
                  <a14:compatExt spid="_x0000_s61469"/>
                </a:ext>
                <a:ext uri="{FF2B5EF4-FFF2-40B4-BE49-F238E27FC236}">
                  <a16:creationId xmlns:a16="http://schemas.microsoft.com/office/drawing/2014/main" id="{00000000-0008-0000-0800-00001D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61470" name="Check Box 30" hidden="1">
              <a:extLst>
                <a:ext uri="{63B3BB69-23CF-44E3-9099-C40C66FF867C}">
                  <a14:compatExt spid="_x0000_s61470"/>
                </a:ext>
                <a:ext uri="{FF2B5EF4-FFF2-40B4-BE49-F238E27FC236}">
                  <a16:creationId xmlns:a16="http://schemas.microsoft.com/office/drawing/2014/main" id="{00000000-0008-0000-0800-00001E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61471" name="Check Box 31" hidden="1">
              <a:extLst>
                <a:ext uri="{63B3BB69-23CF-44E3-9099-C40C66FF867C}">
                  <a14:compatExt spid="_x0000_s61471"/>
                </a:ext>
                <a:ext uri="{FF2B5EF4-FFF2-40B4-BE49-F238E27FC236}">
                  <a16:creationId xmlns:a16="http://schemas.microsoft.com/office/drawing/2014/main" id="{00000000-0008-0000-0800-00001F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61472" name="Check Box 32" hidden="1">
              <a:extLst>
                <a:ext uri="{63B3BB69-23CF-44E3-9099-C40C66FF867C}">
                  <a14:compatExt spid="_x0000_s61472"/>
                </a:ext>
                <a:ext uri="{FF2B5EF4-FFF2-40B4-BE49-F238E27FC236}">
                  <a16:creationId xmlns:a16="http://schemas.microsoft.com/office/drawing/2014/main" id="{00000000-0008-0000-0800-000020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61473" name="Check Box 33" hidden="1">
              <a:extLst>
                <a:ext uri="{63B3BB69-23CF-44E3-9099-C40C66FF867C}">
                  <a14:compatExt spid="_x0000_s61473"/>
                </a:ext>
                <a:ext uri="{FF2B5EF4-FFF2-40B4-BE49-F238E27FC236}">
                  <a16:creationId xmlns:a16="http://schemas.microsoft.com/office/drawing/2014/main" id="{00000000-0008-0000-0800-000021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0900-000002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0900-000003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0900-000004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0900-000005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0900-000006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0900-000007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0900-000008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0900-000009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0900-00000A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2475" name="Check Box 11" hidden="1">
              <a:extLst>
                <a:ext uri="{63B3BB69-23CF-44E3-9099-C40C66FF867C}">
                  <a14:compatExt spid="_x0000_s62475"/>
                </a:ext>
                <a:ext uri="{FF2B5EF4-FFF2-40B4-BE49-F238E27FC236}">
                  <a16:creationId xmlns:a16="http://schemas.microsoft.com/office/drawing/2014/main" id="{00000000-0008-0000-0900-00000B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2476" name="Check Box 12" hidden="1">
              <a:extLst>
                <a:ext uri="{63B3BB69-23CF-44E3-9099-C40C66FF867C}">
                  <a14:compatExt spid="_x0000_s62476"/>
                </a:ext>
                <a:ext uri="{FF2B5EF4-FFF2-40B4-BE49-F238E27FC236}">
                  <a16:creationId xmlns:a16="http://schemas.microsoft.com/office/drawing/2014/main" id="{00000000-0008-0000-0900-00000C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2477" name="Check Box 13" hidden="1">
              <a:extLst>
                <a:ext uri="{63B3BB69-23CF-44E3-9099-C40C66FF867C}">
                  <a14:compatExt spid="_x0000_s62477"/>
                </a:ext>
                <a:ext uri="{FF2B5EF4-FFF2-40B4-BE49-F238E27FC236}">
                  <a16:creationId xmlns:a16="http://schemas.microsoft.com/office/drawing/2014/main" id="{00000000-0008-0000-0900-00000D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0900-00000E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2479" name="Check Box 15" hidden="1">
              <a:extLst>
                <a:ext uri="{63B3BB69-23CF-44E3-9099-C40C66FF867C}">
                  <a14:compatExt spid="_x0000_s62479"/>
                </a:ext>
                <a:ext uri="{FF2B5EF4-FFF2-40B4-BE49-F238E27FC236}">
                  <a16:creationId xmlns:a16="http://schemas.microsoft.com/office/drawing/2014/main" id="{00000000-0008-0000-0900-00000F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A00-00000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A00-000004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A00-000005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A00-000006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A00-000007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A00-000008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A00-000009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A00-00000A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A00-00000B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A00-00000C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A00-00000D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A00-00000E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A00-00000F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2</xdr:col>
          <xdr:colOff>0</xdr:colOff>
          <xdr:row>66</xdr:row>
          <xdr:rowOff>22860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A00-000010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65</xdr:row>
          <xdr:rowOff>0</xdr:rowOff>
        </xdr:from>
        <xdr:to>
          <xdr:col>3</xdr:col>
          <xdr:colOff>190500</xdr:colOff>
          <xdr:row>66</xdr:row>
          <xdr:rowOff>22860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A00-000011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FFFFFF"/>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ColWidth="8.77734375" defaultRowHeight="14.4" x14ac:dyDescent="0.3"/>
  <cols>
    <col min="2" max="2" width="33.1093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ColWidth="8.77734375" defaultRowHeight="14.4" x14ac:dyDescent="0.3"/>
  <cols>
    <col min="1" max="1" width="33.109375" customWidth="1"/>
    <col min="2" max="3" width="33.44140625" customWidth="1"/>
  </cols>
  <sheetData>
    <row r="1" spans="1:6" ht="31.2" x14ac:dyDescent="0.6">
      <c r="A1" s="95" t="s">
        <v>16</v>
      </c>
      <c r="B1" s="95"/>
      <c r="C1" s="95"/>
    </row>
    <row r="3" spans="1:6" ht="24" customHeight="1" x14ac:dyDescent="0.3">
      <c r="A3" s="90" t="s">
        <v>17</v>
      </c>
      <c r="B3" s="91"/>
      <c r="C3" s="92"/>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96" t="str">
        <f>KerntakenEnWerkprocessen!C6</f>
        <v>Praktijkexamen</v>
      </c>
      <c r="C6" s="97"/>
    </row>
    <row r="7" spans="1:6" s="16" customFormat="1" ht="23.25" customHeight="1" x14ac:dyDescent="0.3">
      <c r="A7" s="52" t="s">
        <v>20</v>
      </c>
      <c r="B7" s="96" t="str">
        <f>KerntakenEnWerkprocessen!B7</f>
        <v>[Examennaam]</v>
      </c>
      <c r="C7" s="97"/>
    </row>
    <row r="8" spans="1:6" s="16" customFormat="1" ht="23.25" customHeight="1" x14ac:dyDescent="0.3">
      <c r="A8" s="52" t="s">
        <v>21</v>
      </c>
      <c r="B8" s="96" t="str">
        <f>KerntakenEnWerkprocessen!C7</f>
        <v>SD_SD20-B1-K1-2_1v1</v>
      </c>
      <c r="C8" s="97"/>
    </row>
    <row r="9" spans="1:6" s="16" customFormat="1" ht="23.25" customHeight="1" x14ac:dyDescent="0.3">
      <c r="A9" s="52" t="s">
        <v>22</v>
      </c>
      <c r="B9" s="96" t="str">
        <f>KerntakenEnWerkprocessen!B9</f>
        <v>P1: Software developer, 4</v>
      </c>
      <c r="C9" s="97"/>
    </row>
    <row r="10" spans="1:6" s="16" customFormat="1" ht="23.25" customHeight="1" x14ac:dyDescent="0.3">
      <c r="A10" s="52" t="s">
        <v>23</v>
      </c>
      <c r="B10" s="96" t="str">
        <f>KerntakenEnWerkprocessen!B8</f>
        <v>Softwaredevelopment</v>
      </c>
      <c r="C10" s="97"/>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94" t="str">
        <f>KerntakenEnWerkprocessen!C5</f>
        <v>Realiseert software</v>
      </c>
      <c r="C12" s="94"/>
    </row>
    <row r="13" spans="1:6" s="16" customFormat="1" ht="1.95" customHeight="1" x14ac:dyDescent="0.3">
      <c r="A13" s="54"/>
      <c r="B13" s="28"/>
      <c r="C13" s="29"/>
    </row>
    <row r="14" spans="1:6" ht="222.75" customHeight="1" x14ac:dyDescent="0.3">
      <c r="A14" s="55" t="s">
        <v>26</v>
      </c>
      <c r="B14" s="93" t="str">
        <f>KerntakenEnWerkprocessen!F2</f>
        <v xml:space="preserve">B1-K1-W1 Plant werkzaamheden en bewaakt de voortgang
B1-K1-W2 Ontwerpt software
B1-K1-W3 Realiseert (onderdelen van) software
B1-K1-W4 Test software
B1-K1-W5 Doet verbetervoorstellen voor de software
</v>
      </c>
      <c r="C14" s="93"/>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ColWidth="8.77734375" defaultRowHeight="14.4" x14ac:dyDescent="0.3"/>
  <cols>
    <col min="1" max="1" width="18.109375" customWidth="1"/>
    <col min="2" max="2" width="20.109375" customWidth="1"/>
    <col min="3" max="3" width="17.33203125" customWidth="1"/>
    <col min="4" max="7" width="23.664062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8" t="str">
        <f>CONCATENATE(kerntaakCode,": ",kerntaakNaam)</f>
        <v>B1-K1: Realiseert software</v>
      </c>
      <c r="C10" s="98"/>
      <c r="D10" s="98"/>
      <c r="E10" s="98"/>
      <c r="F10" s="98"/>
      <c r="G10" s="98"/>
    </row>
    <row r="11" spans="1:7" ht="28.5" customHeight="1" x14ac:dyDescent="0.5">
      <c r="B11" s="99" t="e">
        <f>CONCATENATE(VLOOKUP(B1,werkprocessen,1,FALSE),": ",C1)</f>
        <v>#N/A</v>
      </c>
      <c r="C11" s="99"/>
      <c r="D11" s="99"/>
      <c r="E11" s="99"/>
      <c r="F11" s="99"/>
      <c r="G11" s="99"/>
    </row>
    <row r="13" spans="1:7" ht="24" customHeight="1" x14ac:dyDescent="0.3">
      <c r="B13" s="90" t="s">
        <v>36</v>
      </c>
      <c r="C13" s="91"/>
      <c r="D13" s="91"/>
      <c r="E13" s="91"/>
      <c r="F13" s="91"/>
      <c r="G13" s="92"/>
    </row>
    <row r="14" spans="1:7" ht="22.5" customHeight="1" x14ac:dyDescent="0.3">
      <c r="B14" s="56" t="s">
        <v>37</v>
      </c>
      <c r="C14" s="11"/>
      <c r="D14" s="9"/>
      <c r="E14" s="9"/>
      <c r="F14" s="9"/>
      <c r="G14" s="13"/>
    </row>
    <row r="15" spans="1:7" ht="22.5" customHeight="1" x14ac:dyDescent="0.3">
      <c r="B15" s="56" t="s">
        <v>82</v>
      </c>
      <c r="C15" s="12"/>
      <c r="D15" s="10"/>
      <c r="E15" s="10"/>
      <c r="F15" s="10"/>
      <c r="G15" s="14"/>
    </row>
    <row r="16" spans="1:7" ht="22.5" customHeight="1" x14ac:dyDescent="0.3">
      <c r="B16" s="56" t="s">
        <v>66</v>
      </c>
      <c r="C16" s="12"/>
      <c r="D16" s="10"/>
      <c r="E16" s="10"/>
      <c r="F16" s="10"/>
      <c r="G16" s="14"/>
    </row>
    <row r="17" spans="2:7" ht="22.5" customHeight="1" x14ac:dyDescent="0.3">
      <c r="B17" s="56" t="s">
        <v>38</v>
      </c>
      <c r="C17" s="12"/>
      <c r="D17" s="10"/>
      <c r="E17" s="10"/>
      <c r="F17" s="10"/>
      <c r="G17" s="14"/>
    </row>
    <row r="18" spans="2:7" ht="22.5" customHeight="1" x14ac:dyDescent="0.3">
      <c r="B18" s="56" t="s">
        <v>39</v>
      </c>
      <c r="C18" s="12"/>
      <c r="D18" s="10"/>
      <c r="E18" s="10"/>
      <c r="F18" s="10"/>
      <c r="G18" s="14"/>
    </row>
    <row r="19" spans="2:7" ht="22.5" customHeight="1" x14ac:dyDescent="0.3">
      <c r="B19" s="56" t="s">
        <v>40</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7" sqref="C7"/>
    </sheetView>
  </sheetViews>
  <sheetFormatPr defaultColWidth="8.77734375" defaultRowHeight="14.4" x14ac:dyDescent="0.3"/>
  <cols>
    <col min="1" max="1" width="29.77734375" customWidth="1"/>
    <col min="2" max="2" width="28.33203125" customWidth="1"/>
    <col min="3" max="3" width="55.6640625" customWidth="1"/>
    <col min="4" max="5" width="16.44140625" hidden="1" customWidth="1"/>
    <col min="6" max="6" width="53.44140625" hidden="1" customWidth="1"/>
    <col min="7" max="7" width="13.6640625" customWidth="1"/>
  </cols>
  <sheetData>
    <row r="1" spans="1:6" ht="36.75" customHeight="1" x14ac:dyDescent="0.3">
      <c r="A1" s="1" t="s">
        <v>41</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42</v>
      </c>
      <c r="B3" s="46">
        <v>44131</v>
      </c>
    </row>
    <row r="4" spans="1:6" x14ac:dyDescent="0.3">
      <c r="A4" s="36" t="s">
        <v>43</v>
      </c>
      <c r="B4" s="100" t="s">
        <v>186</v>
      </c>
      <c r="C4" s="100"/>
    </row>
    <row r="5" spans="1:6" ht="15" customHeight="1" x14ac:dyDescent="0.3">
      <c r="A5" s="30" t="s">
        <v>25</v>
      </c>
      <c r="B5" s="57" t="s">
        <v>81</v>
      </c>
      <c r="C5" s="57" t="s">
        <v>80</v>
      </c>
    </row>
    <row r="6" spans="1:6" x14ac:dyDescent="0.3">
      <c r="A6" t="s">
        <v>19</v>
      </c>
      <c r="C6" s="57" t="s">
        <v>206</v>
      </c>
    </row>
    <row r="7" spans="1:6" x14ac:dyDescent="0.3">
      <c r="A7" t="s">
        <v>44</v>
      </c>
      <c r="B7" s="21" t="s">
        <v>45</v>
      </c>
      <c r="C7" s="57" t="s">
        <v>207</v>
      </c>
    </row>
    <row r="8" spans="1:6" x14ac:dyDescent="0.3">
      <c r="A8" t="s">
        <v>46</v>
      </c>
      <c r="B8" s="57" t="s">
        <v>79</v>
      </c>
      <c r="C8" s="57" t="s">
        <v>78</v>
      </c>
    </row>
    <row r="9" spans="1:6" ht="15" customHeight="1" x14ac:dyDescent="0.3">
      <c r="A9" s="39" t="s">
        <v>47</v>
      </c>
      <c r="B9" s="57" t="s">
        <v>77</v>
      </c>
      <c r="C9" s="57">
        <v>25604</v>
      </c>
    </row>
    <row r="12" spans="1:6" x14ac:dyDescent="0.3">
      <c r="A12" t="s">
        <v>26</v>
      </c>
      <c r="B12" s="3" t="s">
        <v>48</v>
      </c>
      <c r="C12" s="3" t="s">
        <v>49</v>
      </c>
      <c r="D12" s="4" t="s">
        <v>50</v>
      </c>
      <c r="E12" s="4" t="s">
        <v>51</v>
      </c>
      <c r="F12" s="4" t="s">
        <v>52</v>
      </c>
    </row>
    <row r="13" spans="1:6" x14ac:dyDescent="0.3">
      <c r="B13" s="57" t="s">
        <v>67</v>
      </c>
      <c r="C13" s="57" t="s">
        <v>72</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68</v>
      </c>
      <c r="C14" s="57" t="s">
        <v>73</v>
      </c>
      <c r="D14" s="5">
        <f t="array" ref="D14">MIN(IF(Beheersingsniveaus!$A$4:$A$153=KerntakenEnWerkprocessen!$B14,Beheersingsniveaus!$B$4:$B$153))</f>
        <v>1</v>
      </c>
      <c r="E14" s="5">
        <f t="array" ref="E14">MAX(IF(Beheersingsniveaus!$A$4:$A$153=KerntakenEnWerkprocessen!$B14,Beheersingsniveaus!$B$4:$B$153))</f>
        <v>1</v>
      </c>
      <c r="F14" s="5" t="str">
        <f>F13&amp;B14&amp;" "&amp;C14&amp;CHAR(10)</f>
        <v xml:space="preserve">B1-K1-W1 Plant werkzaamheden en bewaakt de voortgang
B1-K1-W2 Ontwerpt software
</v>
      </c>
    </row>
    <row r="15" spans="1:6" x14ac:dyDescent="0.3">
      <c r="B15" s="57" t="s">
        <v>69</v>
      </c>
      <c r="C15" s="57" t="s">
        <v>74</v>
      </c>
      <c r="D15" s="5">
        <f t="array" ref="D15">MIN(IF(Beheersingsniveaus!$A$4:$A$153=KerntakenEnWerkprocessen!$B15,Beheersingsniveaus!$B$4:$B$153))</f>
        <v>2</v>
      </c>
      <c r="E15" s="5">
        <f t="array" ref="E15">MAX(IF(Beheersingsniveaus!$A$4:$A$153=KerntakenEnWerkprocessen!$B15,Beheersingsniveaus!$B$4:$B$153))</f>
        <v>2</v>
      </c>
      <c r="F15" s="5" t="str">
        <f t="shared" ref="F15:F22" si="0">F14&amp;B15&amp;" "&amp;C15&amp;CHAR(10)</f>
        <v xml:space="preserve">B1-K1-W1 Plant werkzaamheden en bewaakt de voortgang
B1-K1-W2 Ontwerpt software
B1-K1-W3 Realiseert (onderdelen van) software
</v>
      </c>
    </row>
    <row r="16" spans="1:6" x14ac:dyDescent="0.3">
      <c r="B16" s="57" t="s">
        <v>70</v>
      </c>
      <c r="C16" s="57" t="s">
        <v>75</v>
      </c>
      <c r="D16" s="5">
        <f t="array" ref="D16">MIN(IF(Beheersingsniveaus!$A$4:$A$153=KerntakenEnWerkprocessen!$B16,Beheersingsniveaus!$B$4:$B$153))</f>
        <v>3</v>
      </c>
      <c r="E16" s="5">
        <f t="array" ref="E16">MAX(IF(Beheersingsniveaus!$A$4:$A$153=KerntakenEnWerkprocessen!$B16,Beheersingsniveaus!$B$4:$B$153))</f>
        <v>3</v>
      </c>
      <c r="F16" s="5" t="str">
        <f t="shared" si="0"/>
        <v xml:space="preserve">B1-K1-W1 Plant werkzaamheden en bewaakt de voortgang
B1-K1-W2 Ontwerpt software
B1-K1-W3 Realiseert (onderdelen van) software
B1-K1-W4 Test software
</v>
      </c>
    </row>
    <row r="17" spans="1:6" x14ac:dyDescent="0.3">
      <c r="B17" s="57" t="s">
        <v>71</v>
      </c>
      <c r="C17" s="57" t="s">
        <v>76</v>
      </c>
      <c r="D17" s="5">
        <f t="array" ref="D17">MIN(IF(Beheersingsniveaus!$A$4:$A$153=KerntakenEnWerkprocessen!$B17,Beheersingsniveaus!$B$4:$B$153))</f>
        <v>4</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53</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1082040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H1" sqref="H1"/>
    </sheetView>
  </sheetViews>
  <sheetFormatPr defaultColWidth="8.77734375" defaultRowHeight="14.4" x14ac:dyDescent="0.3"/>
  <cols>
    <col min="1" max="1" width="26.44140625" customWidth="1"/>
    <col min="2" max="2" width="18.44140625" customWidth="1"/>
    <col min="3" max="3" width="18.44140625" hidden="1" customWidth="1"/>
    <col min="4" max="4" width="19.4414062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3">
      <c r="A1" s="1" t="s">
        <v>54</v>
      </c>
    </row>
    <row r="2" spans="1:11" ht="15" customHeight="1" x14ac:dyDescent="0.3">
      <c r="A2" s="1"/>
    </row>
    <row r="3" spans="1:11" x14ac:dyDescent="0.3">
      <c r="A3" s="3" t="s">
        <v>55</v>
      </c>
      <c r="B3" s="3" t="s">
        <v>56</v>
      </c>
      <c r="C3" s="7" t="s">
        <v>57</v>
      </c>
      <c r="D3" s="7" t="s">
        <v>58</v>
      </c>
      <c r="E3" s="3" t="s">
        <v>59</v>
      </c>
      <c r="F3" s="3" t="s">
        <v>60</v>
      </c>
      <c r="G3" s="3" t="s">
        <v>61</v>
      </c>
      <c r="H3" s="3" t="s">
        <v>62</v>
      </c>
      <c r="I3" s="3" t="s">
        <v>63</v>
      </c>
      <c r="J3" s="3" t="s">
        <v>64</v>
      </c>
      <c r="K3" s="3" t="s">
        <v>65</v>
      </c>
    </row>
    <row r="4" spans="1:11" ht="293.25" customHeight="1" x14ac:dyDescent="0.3">
      <c r="A4" s="40" t="s">
        <v>67</v>
      </c>
      <c r="B4" s="41">
        <v>1</v>
      </c>
      <c r="C4" s="43" t="str">
        <f>IF(A4&lt;&gt;"",CONCATENATE(A4,"-",B4),"")</f>
        <v>B1-K1-W1-1</v>
      </c>
      <c r="D4" s="44" t="str">
        <f>IF(C4&lt;&gt;"",CONCATENATE(C4,"-","1"),"")</f>
        <v>B1-K1-W1-1-1</v>
      </c>
      <c r="E4" s="31" t="s">
        <v>83</v>
      </c>
      <c r="F4" s="31" t="s">
        <v>84</v>
      </c>
      <c r="G4" s="57" t="s">
        <v>85</v>
      </c>
      <c r="H4" s="45" t="s">
        <v>96</v>
      </c>
      <c r="I4" s="31" t="s">
        <v>86</v>
      </c>
      <c r="J4" s="31" t="s">
        <v>87</v>
      </c>
      <c r="K4" s="42"/>
    </row>
    <row r="5" spans="1:11" ht="293.25" customHeight="1" x14ac:dyDescent="0.3">
      <c r="A5" s="40" t="s">
        <v>67</v>
      </c>
      <c r="B5" s="41">
        <v>1</v>
      </c>
      <c r="C5" s="43" t="str">
        <f t="shared" ref="C5:C67" si="0">IF(A5&lt;&gt;"",CONCATENATE(A5,"-",B5),"")</f>
        <v>B1-K1-W1-1</v>
      </c>
      <c r="D5" s="44" t="str">
        <f>IF(C5&lt;&gt;"",CONCATENATE(C5,"-",COUNTIF($C$4:C5,C5),""),"")</f>
        <v>B1-K1-W1-1-2</v>
      </c>
      <c r="E5" s="31" t="s">
        <v>83</v>
      </c>
      <c r="F5" s="31" t="s">
        <v>88</v>
      </c>
      <c r="G5" s="31" t="s">
        <v>89</v>
      </c>
      <c r="H5" s="31" t="s">
        <v>96</v>
      </c>
      <c r="I5" s="31" t="s">
        <v>86</v>
      </c>
      <c r="J5" s="57" t="s">
        <v>87</v>
      </c>
      <c r="K5" s="42"/>
    </row>
    <row r="6" spans="1:11" ht="293.25" customHeight="1" x14ac:dyDescent="0.3">
      <c r="A6" s="40" t="s">
        <v>67</v>
      </c>
      <c r="B6" s="41">
        <v>1</v>
      </c>
      <c r="C6" s="43" t="str">
        <f t="shared" si="0"/>
        <v>B1-K1-W1-1</v>
      </c>
      <c r="D6" s="44" t="str">
        <f>IF(C6&lt;&gt;"",CONCATENATE(C6,"-",COUNTIF($C$4:C6,C6),""),"")</f>
        <v>B1-K1-W1-1-3</v>
      </c>
      <c r="E6" s="31" t="s">
        <v>83</v>
      </c>
      <c r="F6" s="31" t="s">
        <v>90</v>
      </c>
      <c r="G6" s="31" t="s">
        <v>91</v>
      </c>
      <c r="H6" s="31" t="s">
        <v>96</v>
      </c>
      <c r="I6" s="31" t="s">
        <v>86</v>
      </c>
      <c r="J6" s="31" t="s">
        <v>87</v>
      </c>
      <c r="K6" s="42"/>
    </row>
    <row r="7" spans="1:11" ht="293.25" customHeight="1" x14ac:dyDescent="0.3">
      <c r="A7" s="40" t="s">
        <v>67</v>
      </c>
      <c r="B7" s="41">
        <v>1</v>
      </c>
      <c r="C7" s="43" t="str">
        <f t="shared" si="0"/>
        <v>B1-K1-W1-1</v>
      </c>
      <c r="D7" s="44" t="str">
        <f>IF(C7&lt;&gt;"",CONCATENATE(C7,"-",COUNTIF($C$4:C7,C7),""),"")</f>
        <v>B1-K1-W1-1-4</v>
      </c>
      <c r="E7" s="31" t="s">
        <v>83</v>
      </c>
      <c r="F7" s="31" t="s">
        <v>92</v>
      </c>
      <c r="G7" s="31" t="s">
        <v>95</v>
      </c>
      <c r="H7" s="31" t="s">
        <v>96</v>
      </c>
      <c r="I7" s="31" t="s">
        <v>86</v>
      </c>
      <c r="J7" s="31" t="s">
        <v>87</v>
      </c>
      <c r="K7" s="42"/>
    </row>
    <row r="8" spans="1:11" ht="293.25" customHeight="1" x14ac:dyDescent="0.3">
      <c r="A8" s="40" t="s">
        <v>68</v>
      </c>
      <c r="B8" s="41">
        <v>1</v>
      </c>
      <c r="C8" s="43" t="str">
        <f t="shared" si="0"/>
        <v>B1-K1-W2-1</v>
      </c>
      <c r="D8" s="44" t="str">
        <f>IF(C8&lt;&gt;"",CONCATENATE(C8,"-",COUNTIF($C$4:C8,C8),""),"")</f>
        <v>B1-K1-W2-1-1</v>
      </c>
      <c r="E8" s="31" t="s">
        <v>93</v>
      </c>
      <c r="F8" s="31" t="s">
        <v>94</v>
      </c>
      <c r="G8" s="31" t="s">
        <v>97</v>
      </c>
      <c r="H8" s="31" t="s">
        <v>96</v>
      </c>
      <c r="I8" s="31" t="s">
        <v>86</v>
      </c>
      <c r="J8" s="31" t="s">
        <v>87</v>
      </c>
      <c r="K8" s="42" t="s">
        <v>1</v>
      </c>
    </row>
    <row r="9" spans="1:11" ht="293.25" customHeight="1" x14ac:dyDescent="0.3">
      <c r="A9" s="40" t="s">
        <v>68</v>
      </c>
      <c r="B9" s="41">
        <v>1</v>
      </c>
      <c r="C9" s="43" t="str">
        <f t="shared" si="0"/>
        <v>B1-K1-W2-1</v>
      </c>
      <c r="D9" s="44" t="str">
        <f>IF(C9&lt;&gt;"",CONCATENATE(C9,"-",COUNTIF($C$4:C9,C9),""),"")</f>
        <v>B1-K1-W2-1-2</v>
      </c>
      <c r="E9" s="31" t="s">
        <v>93</v>
      </c>
      <c r="F9" s="31" t="s">
        <v>98</v>
      </c>
      <c r="G9" s="31" t="s">
        <v>99</v>
      </c>
      <c r="H9" s="31" t="s">
        <v>96</v>
      </c>
      <c r="I9" s="31" t="s">
        <v>86</v>
      </c>
      <c r="J9" s="31" t="s">
        <v>87</v>
      </c>
      <c r="K9" s="42"/>
    </row>
    <row r="10" spans="1:11" ht="293.25" customHeight="1" x14ac:dyDescent="0.3">
      <c r="A10" s="40" t="s">
        <v>68</v>
      </c>
      <c r="B10" s="41">
        <v>1</v>
      </c>
      <c r="C10" s="43" t="str">
        <f t="shared" si="0"/>
        <v>B1-K1-W2-1</v>
      </c>
      <c r="D10" s="44" t="str">
        <f>IF(C10&lt;&gt;"",CONCATENATE(C10,"-",COUNTIF($C$4:C10,C10),""),"")</f>
        <v>B1-K1-W2-1-3</v>
      </c>
      <c r="E10" s="31" t="s">
        <v>93</v>
      </c>
      <c r="F10" s="31" t="s">
        <v>100</v>
      </c>
      <c r="G10" s="31" t="s">
        <v>101</v>
      </c>
      <c r="H10" s="31" t="s">
        <v>96</v>
      </c>
      <c r="I10" s="31" t="s">
        <v>86</v>
      </c>
      <c r="J10" s="31" t="s">
        <v>87</v>
      </c>
      <c r="K10" s="42"/>
    </row>
    <row r="11" spans="1:11" ht="293.25" customHeight="1" x14ac:dyDescent="0.3">
      <c r="A11" s="40" t="s">
        <v>69</v>
      </c>
      <c r="B11" s="41">
        <v>2</v>
      </c>
      <c r="C11" s="58" t="str">
        <f t="shared" si="0"/>
        <v>B1-K1-W3-2</v>
      </c>
      <c r="D11" s="58" t="str">
        <f>IF(C11&lt;&gt;"",CONCATENATE(C11,"-",COUNTIF($C$4:C11,C11),""),"")</f>
        <v>B1-K1-W3-2-1</v>
      </c>
      <c r="E11" s="31" t="s">
        <v>102</v>
      </c>
      <c r="F11" s="31" t="s">
        <v>104</v>
      </c>
      <c r="G11" s="31" t="s">
        <v>103</v>
      </c>
      <c r="H11" s="31" t="s">
        <v>96</v>
      </c>
      <c r="I11" s="31" t="s">
        <v>86</v>
      </c>
      <c r="J11" s="31" t="s">
        <v>87</v>
      </c>
      <c r="K11" s="42" t="s">
        <v>1</v>
      </c>
    </row>
    <row r="12" spans="1:11" ht="293.25" customHeight="1" x14ac:dyDescent="0.3">
      <c r="A12" s="40" t="s">
        <v>69</v>
      </c>
      <c r="B12" s="41">
        <v>2</v>
      </c>
      <c r="C12" s="43" t="str">
        <f t="shared" si="0"/>
        <v>B1-K1-W3-2</v>
      </c>
      <c r="D12" s="44" t="str">
        <f>IF(C12&lt;&gt;"",CONCATENATE(C12,"-",COUNTIF($C$4:C12,C12),""),"")</f>
        <v>B1-K1-W3-2-2</v>
      </c>
      <c r="E12" s="31" t="s">
        <v>102</v>
      </c>
      <c r="F12" s="31" t="s">
        <v>105</v>
      </c>
      <c r="G12" s="31" t="s">
        <v>106</v>
      </c>
      <c r="H12" s="31" t="s">
        <v>96</v>
      </c>
      <c r="I12" s="31" t="s">
        <v>86</v>
      </c>
      <c r="J12" s="31" t="s">
        <v>87</v>
      </c>
      <c r="K12" s="42"/>
    </row>
    <row r="13" spans="1:11" ht="293.25" customHeight="1" x14ac:dyDescent="0.3">
      <c r="A13" s="40" t="s">
        <v>69</v>
      </c>
      <c r="B13" s="41">
        <v>2</v>
      </c>
      <c r="C13" s="43" t="str">
        <f t="shared" si="0"/>
        <v>B1-K1-W3-2</v>
      </c>
      <c r="D13" s="44" t="str">
        <f>IF(C13&lt;&gt;"",CONCATENATE(C13,"-",COUNTIF($C$4:C13,C13),""),"")</f>
        <v>B1-K1-W3-2-3</v>
      </c>
      <c r="E13" s="31" t="s">
        <v>102</v>
      </c>
      <c r="F13" s="31" t="s">
        <v>107</v>
      </c>
      <c r="G13" s="31" t="s">
        <v>110</v>
      </c>
      <c r="H13" s="31" t="s">
        <v>96</v>
      </c>
      <c r="I13" s="31" t="s">
        <v>86</v>
      </c>
      <c r="J13" s="31" t="s">
        <v>87</v>
      </c>
      <c r="K13" s="42" t="s">
        <v>1</v>
      </c>
    </row>
    <row r="14" spans="1:11" ht="293.25" customHeight="1" x14ac:dyDescent="0.3">
      <c r="A14" s="40" t="s">
        <v>69</v>
      </c>
      <c r="B14" s="41">
        <v>2</v>
      </c>
      <c r="C14" s="43" t="str">
        <f t="shared" si="0"/>
        <v>B1-K1-W3-2</v>
      </c>
      <c r="D14" s="44" t="str">
        <f>IF(C14&lt;&gt;"",CONCATENATE(C14,"-",COUNTIF($C$4:C14,C14),""),"")</f>
        <v>B1-K1-W3-2-4</v>
      </c>
      <c r="E14" s="31" t="s">
        <v>102</v>
      </c>
      <c r="F14" s="31" t="s">
        <v>108</v>
      </c>
      <c r="G14" s="31" t="s">
        <v>109</v>
      </c>
      <c r="H14" s="31" t="s">
        <v>96</v>
      </c>
      <c r="I14" s="31" t="s">
        <v>86</v>
      </c>
      <c r="J14" s="31" t="s">
        <v>87</v>
      </c>
      <c r="K14" s="42"/>
    </row>
    <row r="15" spans="1:11" ht="293.25" customHeight="1" x14ac:dyDescent="0.3">
      <c r="A15" s="40" t="s">
        <v>69</v>
      </c>
      <c r="B15" s="41">
        <v>2</v>
      </c>
      <c r="C15" s="43" t="str">
        <f t="shared" si="0"/>
        <v>B1-K1-W3-2</v>
      </c>
      <c r="D15" s="44" t="str">
        <f>IF(C15&lt;&gt;"",CONCATENATE(C15,"-",COUNTIF($C$4:C15,C15),""),"")</f>
        <v>B1-K1-W3-2-5</v>
      </c>
      <c r="E15" s="31" t="s">
        <v>102</v>
      </c>
      <c r="F15" s="31" t="s">
        <v>111</v>
      </c>
      <c r="G15" s="31" t="s">
        <v>112</v>
      </c>
      <c r="H15" s="31" t="s">
        <v>96</v>
      </c>
      <c r="I15" s="31" t="s">
        <v>86</v>
      </c>
      <c r="J15" s="31" t="s">
        <v>87</v>
      </c>
      <c r="K15" s="42"/>
    </row>
    <row r="16" spans="1:11" ht="293.25" customHeight="1" x14ac:dyDescent="0.3">
      <c r="A16" s="40" t="s">
        <v>69</v>
      </c>
      <c r="B16" s="41">
        <v>2</v>
      </c>
      <c r="C16" s="43" t="str">
        <f t="shared" si="0"/>
        <v>B1-K1-W3-2</v>
      </c>
      <c r="D16" s="44" t="str">
        <f>IF(C16&lt;&gt;"",CONCATENATE(C16,"-",COUNTIF($C$4:C16,C16),""),"")</f>
        <v>B1-K1-W3-2-6</v>
      </c>
      <c r="E16" s="31" t="s">
        <v>102</v>
      </c>
      <c r="F16" s="31" t="s">
        <v>113</v>
      </c>
      <c r="G16" s="31" t="s">
        <v>114</v>
      </c>
      <c r="H16" s="31" t="s">
        <v>96</v>
      </c>
      <c r="I16" s="31" t="s">
        <v>86</v>
      </c>
      <c r="J16" s="31" t="s">
        <v>87</v>
      </c>
      <c r="K16" s="42"/>
    </row>
    <row r="17" spans="1:11" ht="293.25" customHeight="1" x14ac:dyDescent="0.3">
      <c r="A17" s="40" t="s">
        <v>70</v>
      </c>
      <c r="B17" s="41">
        <v>3</v>
      </c>
      <c r="C17" s="43" t="str">
        <f t="shared" si="0"/>
        <v>B1-K1-W4-3</v>
      </c>
      <c r="D17" s="44" t="str">
        <f>IF(C17&lt;&gt;"",CONCATENATE(C17,"-",COUNTIF($C$4:C17,C17),""),"")</f>
        <v>B1-K1-W4-3-1</v>
      </c>
      <c r="E17" s="31" t="s">
        <v>116</v>
      </c>
      <c r="F17" s="31" t="s">
        <v>115</v>
      </c>
      <c r="G17" s="31" t="s">
        <v>117</v>
      </c>
      <c r="H17" s="31" t="s">
        <v>96</v>
      </c>
      <c r="I17" s="31" t="s">
        <v>86</v>
      </c>
      <c r="J17" s="31" t="s">
        <v>87</v>
      </c>
      <c r="K17" s="42"/>
    </row>
    <row r="18" spans="1:11" ht="293.25" customHeight="1" x14ac:dyDescent="0.3">
      <c r="A18" s="40" t="s">
        <v>70</v>
      </c>
      <c r="B18" s="41">
        <v>3</v>
      </c>
      <c r="C18" s="43" t="str">
        <f t="shared" si="0"/>
        <v>B1-K1-W4-3</v>
      </c>
      <c r="D18" s="44" t="str">
        <f>IF(C18&lt;&gt;"",CONCATENATE(C18,"-",COUNTIF($C$4:C18,C18),""),"")</f>
        <v>B1-K1-W4-3-2</v>
      </c>
      <c r="E18" s="31" t="s">
        <v>116</v>
      </c>
      <c r="F18" s="31" t="s">
        <v>118</v>
      </c>
      <c r="G18" s="31" t="s">
        <v>119</v>
      </c>
      <c r="H18" s="31" t="s">
        <v>96</v>
      </c>
      <c r="I18" s="31" t="s">
        <v>86</v>
      </c>
      <c r="J18" s="31" t="s">
        <v>87</v>
      </c>
      <c r="K18" s="42"/>
    </row>
    <row r="19" spans="1:11" ht="293.25" customHeight="1" x14ac:dyDescent="0.3">
      <c r="A19" s="40" t="s">
        <v>70</v>
      </c>
      <c r="B19" s="41">
        <v>3</v>
      </c>
      <c r="C19" s="43" t="str">
        <f t="shared" si="0"/>
        <v>B1-K1-W4-3</v>
      </c>
      <c r="D19" s="44" t="str">
        <f>IF(C19&lt;&gt;"",CONCATENATE(C19,"-",COUNTIF($C$4:C19,C19),""),"")</f>
        <v>B1-K1-W4-3-3</v>
      </c>
      <c r="E19" s="31" t="s">
        <v>116</v>
      </c>
      <c r="F19" s="31" t="s">
        <v>120</v>
      </c>
      <c r="G19" s="31" t="s">
        <v>121</v>
      </c>
      <c r="H19" s="31" t="s">
        <v>96</v>
      </c>
      <c r="I19" s="31" t="s">
        <v>86</v>
      </c>
      <c r="J19" s="31" t="s">
        <v>87</v>
      </c>
      <c r="K19" s="42"/>
    </row>
    <row r="20" spans="1:11" ht="293.25" customHeight="1" x14ac:dyDescent="0.3">
      <c r="A20" s="40" t="s">
        <v>71</v>
      </c>
      <c r="B20" s="41">
        <v>4</v>
      </c>
      <c r="C20" s="43" t="str">
        <f t="shared" si="0"/>
        <v>B1-K1-W5-4</v>
      </c>
      <c r="D20" s="44" t="str">
        <f>IF(C20&lt;&gt;"",CONCATENATE(C20,"-",COUNTIF($C$4:C20,C20),""),"")</f>
        <v>B1-K1-W5-4-1</v>
      </c>
      <c r="E20" s="31" t="s">
        <v>123</v>
      </c>
      <c r="F20" s="31" t="s">
        <v>122</v>
      </c>
      <c r="G20" s="31" t="s">
        <v>124</v>
      </c>
      <c r="H20" s="31" t="s">
        <v>96</v>
      </c>
      <c r="I20" s="31" t="s">
        <v>86</v>
      </c>
      <c r="J20" s="31" t="s">
        <v>87</v>
      </c>
      <c r="K20" s="42"/>
    </row>
    <row r="21" spans="1:11" ht="293.25" customHeight="1" x14ac:dyDescent="0.3">
      <c r="A21" s="40" t="s">
        <v>71</v>
      </c>
      <c r="B21" s="41">
        <v>4</v>
      </c>
      <c r="C21" s="43" t="str">
        <f t="shared" si="0"/>
        <v>B1-K1-W5-4</v>
      </c>
      <c r="D21" s="44" t="str">
        <f>IF(C21&lt;&gt;"",CONCATENATE(C21,"-",COUNTIF($C$4:C21,C21),""),"")</f>
        <v>B1-K1-W5-4-2</v>
      </c>
      <c r="E21" s="31" t="s">
        <v>123</v>
      </c>
      <c r="F21" s="31" t="s">
        <v>125</v>
      </c>
      <c r="G21" s="31" t="s">
        <v>126</v>
      </c>
      <c r="H21" s="31" t="s">
        <v>96</v>
      </c>
      <c r="I21" s="31" t="s">
        <v>86</v>
      </c>
      <c r="J21" s="31" t="s">
        <v>87</v>
      </c>
      <c r="K21" s="25"/>
    </row>
    <row r="22" spans="1:11" ht="293.25" customHeight="1" x14ac:dyDescent="0.3">
      <c r="A22" s="40" t="s">
        <v>71</v>
      </c>
      <c r="B22" s="41">
        <v>4</v>
      </c>
      <c r="C22" s="43" t="str">
        <f t="shared" si="0"/>
        <v>B1-K1-W5-4</v>
      </c>
      <c r="D22" s="44" t="str">
        <f>IF(C22&lt;&gt;"",CONCATENATE(C22,"-",COUNTIF($C$4:C22,C22),""),"")</f>
        <v>B1-K1-W5-4-3</v>
      </c>
      <c r="E22" s="31" t="s">
        <v>123</v>
      </c>
      <c r="F22" s="31" t="s">
        <v>127</v>
      </c>
      <c r="G22" s="31" t="s">
        <v>128</v>
      </c>
      <c r="H22" s="31" t="s">
        <v>96</v>
      </c>
      <c r="I22" s="31" t="s">
        <v>86</v>
      </c>
      <c r="J22" s="31" t="s">
        <v>87</v>
      </c>
      <c r="K22" s="25"/>
    </row>
    <row r="23" spans="1:11" ht="293.25" customHeight="1" x14ac:dyDescent="0.3">
      <c r="A23" s="40" t="s">
        <v>71</v>
      </c>
      <c r="B23" s="41">
        <v>6</v>
      </c>
      <c r="C23" s="43" t="str">
        <f t="shared" si="0"/>
        <v>B1-K1-W5-6</v>
      </c>
      <c r="D23" s="44" t="str">
        <f>IF(C23&lt;&gt;"",CONCATENATE(C23,"-",COUNTIF($C$4:C23,C23),""),"")</f>
        <v>B1-K1-W5-6-1</v>
      </c>
      <c r="E23" s="31" t="s">
        <v>129</v>
      </c>
      <c r="F23" s="31" t="s">
        <v>131</v>
      </c>
      <c r="G23" s="31" t="s">
        <v>130</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327660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60960</xdr:colOff>
                    <xdr:row>0</xdr:row>
                    <xdr:rowOff>60960</xdr:rowOff>
                  </from>
                  <to>
                    <xdr:col>7</xdr:col>
                    <xdr:colOff>1577340</xdr:colOff>
                    <xdr:row>0</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65929-D306-492A-AFC8-50740DAD794B}">
  <sheetPr codeName="Blad5">
    <tabColor indexed="22"/>
    <pageSetUpPr fitToPage="1"/>
  </sheetPr>
  <dimension ref="A1:F35"/>
  <sheetViews>
    <sheetView topLeftCell="A13" workbookViewId="0">
      <selection activeCell="B19" sqref="B19:C19"/>
    </sheetView>
  </sheetViews>
  <sheetFormatPr defaultColWidth="8.77734375" defaultRowHeight="14.4" x14ac:dyDescent="0.3"/>
  <cols>
    <col min="1" max="1" width="33.109375" customWidth="1"/>
    <col min="2" max="3" width="33.44140625" customWidth="1"/>
    <col min="4" max="4" width="27.109375" customWidth="1"/>
  </cols>
  <sheetData>
    <row r="1" spans="1:6" ht="31.2" x14ac:dyDescent="0.6">
      <c r="A1" s="95" t="s">
        <v>16</v>
      </c>
      <c r="B1" s="95"/>
      <c r="C1" s="95"/>
    </row>
    <row r="3" spans="1:6" ht="24" customHeight="1" x14ac:dyDescent="0.3">
      <c r="A3" s="90" t="s">
        <v>17</v>
      </c>
      <c r="B3" s="91"/>
      <c r="C3" s="92"/>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96" t="str">
        <f>KerntakenEnWerkprocessen!C6</f>
        <v>Praktijkexamen</v>
      </c>
      <c r="C6" s="97"/>
    </row>
    <row r="7" spans="1:6" s="16" customFormat="1" ht="23.25" customHeight="1" x14ac:dyDescent="0.3">
      <c r="A7" s="52" t="s">
        <v>21</v>
      </c>
      <c r="B7" s="96" t="str">
        <f>KerntakenEnWerkprocessen!C7</f>
        <v>SD_SD20-B1-K1-2_1v1</v>
      </c>
      <c r="C7" s="97"/>
    </row>
    <row r="8" spans="1:6" s="16" customFormat="1" ht="23.25" customHeight="1" x14ac:dyDescent="0.3">
      <c r="A8" s="52" t="s">
        <v>22</v>
      </c>
      <c r="B8" s="96" t="str">
        <f>KerntakenEnWerkprocessen!B9</f>
        <v>P1: Software developer, 4</v>
      </c>
      <c r="C8" s="97"/>
    </row>
    <row r="9" spans="1:6" s="16" customFormat="1" ht="23.25" customHeight="1" x14ac:dyDescent="0.3">
      <c r="A9" s="52" t="s">
        <v>23</v>
      </c>
      <c r="B9" s="96" t="str">
        <f>KerntakenEnWerkprocessen!B8</f>
        <v>Softwaredevelopment</v>
      </c>
      <c r="C9" s="97"/>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94" t="str">
        <f>KerntakenEnWerkprocessen!C5</f>
        <v>Realiseert software</v>
      </c>
      <c r="C11" s="94"/>
    </row>
    <row r="12" spans="1:6" s="16" customFormat="1" ht="1.95" customHeight="1" x14ac:dyDescent="0.3">
      <c r="A12" s="54"/>
      <c r="B12" s="28"/>
      <c r="C12" s="29"/>
    </row>
    <row r="13" spans="1:6" ht="222.75" customHeight="1" x14ac:dyDescent="0.3">
      <c r="A13" s="55" t="s">
        <v>26</v>
      </c>
      <c r="B13" s="93" t="str">
        <f>KerntakenEnWerkprocessen!F2</f>
        <v xml:space="preserve">B1-K1-W1 Plant werkzaamheden en bewaakt de voortgang
B1-K1-W2 Ontwerpt software
B1-K1-W3 Realiseert (onderdelen van) software
B1-K1-W4 Test software
B1-K1-W5 Doet verbetervoorstellen voor de software
</v>
      </c>
      <c r="C13" s="93"/>
      <c r="F13" s="26"/>
    </row>
    <row r="15" spans="1:6" x14ac:dyDescent="0.3">
      <c r="A15" s="106" t="s">
        <v>36</v>
      </c>
      <c r="B15" s="107"/>
      <c r="C15" s="108"/>
    </row>
    <row r="16" spans="1:6" ht="16.5" customHeight="1" x14ac:dyDescent="0.3">
      <c r="A16" s="77" t="s">
        <v>37</v>
      </c>
      <c r="B16" s="109"/>
      <c r="C16" s="110"/>
      <c r="D16" s="78" t="s">
        <v>181</v>
      </c>
    </row>
    <row r="17" spans="1:3" x14ac:dyDescent="0.3">
      <c r="A17" s="77" t="s">
        <v>82</v>
      </c>
      <c r="B17" s="103" t="s">
        <v>208</v>
      </c>
      <c r="C17" s="104"/>
    </row>
    <row r="18" spans="1:3" x14ac:dyDescent="0.3">
      <c r="A18" s="77" t="s">
        <v>66</v>
      </c>
      <c r="B18" s="101" t="s">
        <v>208</v>
      </c>
      <c r="C18" s="102"/>
    </row>
    <row r="19" spans="1:3" x14ac:dyDescent="0.3">
      <c r="A19" s="77" t="s">
        <v>38</v>
      </c>
      <c r="B19" s="103" t="s">
        <v>209</v>
      </c>
      <c r="C19" s="104"/>
    </row>
    <row r="20" spans="1:3" x14ac:dyDescent="0.3">
      <c r="A20" s="77" t="s">
        <v>39</v>
      </c>
      <c r="B20" s="103"/>
      <c r="C20" s="104"/>
    </row>
    <row r="21" spans="1:3" x14ac:dyDescent="0.3">
      <c r="A21" s="77" t="s">
        <v>40</v>
      </c>
      <c r="B21" s="103"/>
      <c r="C21" s="104"/>
    </row>
    <row r="22" spans="1:3" ht="15" thickBot="1" x14ac:dyDescent="0.35"/>
    <row r="23" spans="1:3" ht="15" thickBot="1" x14ac:dyDescent="0.35">
      <c r="A23" s="79" t="s">
        <v>26</v>
      </c>
      <c r="B23" s="80" t="s">
        <v>182</v>
      </c>
      <c r="C23" s="105" t="s">
        <v>183</v>
      </c>
    </row>
    <row r="24" spans="1:3" x14ac:dyDescent="0.3">
      <c r="A24" s="77" t="s">
        <v>67</v>
      </c>
      <c r="B24" s="81" t="str">
        <f>'B1-K1-W1'!B45</f>
        <v/>
      </c>
      <c r="C24" s="105"/>
    </row>
    <row r="25" spans="1:3" x14ac:dyDescent="0.3">
      <c r="A25" s="77" t="s">
        <v>68</v>
      </c>
      <c r="B25" s="81" t="str">
        <f>IF('B1-K1-W2'!E30=TRUE,'B1-K1-W2'!B46,"")</f>
        <v/>
      </c>
      <c r="C25" s="105"/>
    </row>
    <row r="26" spans="1:3" x14ac:dyDescent="0.3">
      <c r="A26" s="77" t="s">
        <v>69</v>
      </c>
      <c r="B26" s="81" t="str">
        <f>IF('B1-K1-W3'!E33=TRUE,'B1-K1-W3'!B64,"")</f>
        <v/>
      </c>
      <c r="C26" s="105"/>
    </row>
    <row r="27" spans="1:3" x14ac:dyDescent="0.3">
      <c r="A27" s="77" t="s">
        <v>70</v>
      </c>
      <c r="B27" s="81" t="str">
        <f>'B1-K1-W4'!B41</f>
        <v/>
      </c>
      <c r="C27" s="105"/>
    </row>
    <row r="28" spans="1:3" x14ac:dyDescent="0.3">
      <c r="A28" s="77" t="s">
        <v>71</v>
      </c>
      <c r="B28" s="81" t="str">
        <f>'B1-K1-W5'!B56</f>
        <v/>
      </c>
      <c r="C28" s="105"/>
    </row>
    <row r="29" spans="1:3" ht="15" thickBot="1" x14ac:dyDescent="0.35"/>
    <row r="30" spans="1:3" ht="15" thickBot="1" x14ac:dyDescent="0.35">
      <c r="A30" s="79" t="s">
        <v>184</v>
      </c>
      <c r="B30" s="79" t="s">
        <v>185</v>
      </c>
    </row>
    <row r="31" spans="1:3" x14ac:dyDescent="0.3">
      <c r="A31" s="82"/>
      <c r="B31" s="82"/>
      <c r="C31" s="83"/>
    </row>
    <row r="32" spans="1:3" x14ac:dyDescent="0.3">
      <c r="A32" s="84"/>
      <c r="B32" s="84"/>
    </row>
    <row r="33" spans="1:2" x14ac:dyDescent="0.3">
      <c r="A33" s="84"/>
      <c r="B33" s="84"/>
    </row>
    <row r="34" spans="1:2" x14ac:dyDescent="0.3">
      <c r="A34" s="84"/>
      <c r="B34" s="84"/>
    </row>
    <row r="35" spans="1:2" ht="15" thickBot="1" x14ac:dyDescent="0.35">
      <c r="A35" s="85"/>
      <c r="B35" s="85"/>
    </row>
  </sheetData>
  <mergeCells count="16">
    <mergeCell ref="B17:C17"/>
    <mergeCell ref="A1:C1"/>
    <mergeCell ref="A3:C3"/>
    <mergeCell ref="B6:C6"/>
    <mergeCell ref="B7:C7"/>
    <mergeCell ref="B8:C8"/>
    <mergeCell ref="B9:C9"/>
    <mergeCell ref="B11:C11"/>
    <mergeCell ref="B13:C13"/>
    <mergeCell ref="A15:C15"/>
    <mergeCell ref="B16:C16"/>
    <mergeCell ref="B18:C18"/>
    <mergeCell ref="B19:C19"/>
    <mergeCell ref="B20:C20"/>
    <mergeCell ref="B21:C21"/>
    <mergeCell ref="C23:C28"/>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B5C01-7C65-458B-B939-61AD06824ADB}">
  <sheetPr codeName="Blad28">
    <tabColor indexed="22"/>
    <pageSetUpPr fitToPage="1"/>
  </sheetPr>
  <dimension ref="A1:O58"/>
  <sheetViews>
    <sheetView showGridLines="0" tabSelected="1" topLeftCell="B24" workbookViewId="0">
      <selection activeCell="C14" sqref="C14"/>
    </sheetView>
  </sheetViews>
  <sheetFormatPr defaultColWidth="8.77734375"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67</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B1-K1-W1: Plant werkzaamheden en bewaakt de voortgang</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82</v>
      </c>
      <c r="C15" s="88" t="str">
        <f>IF(Voorblad!B17="","",Voorblad!B17)</f>
        <v>Shibin Pan</v>
      </c>
      <c r="D15" s="10"/>
      <c r="E15" s="10"/>
      <c r="F15" s="10"/>
      <c r="G15" s="14"/>
    </row>
    <row r="16" spans="1:7" ht="22.5" customHeight="1" x14ac:dyDescent="0.3">
      <c r="B16" s="56" t="s">
        <v>66</v>
      </c>
      <c r="C16" s="89" t="str">
        <f>IF(Voorblad!B18="","",Voorblad!B18)</f>
        <v>Shibin Pan</v>
      </c>
      <c r="D16" s="10"/>
      <c r="E16" s="10"/>
      <c r="F16" s="10"/>
      <c r="G16" s="14"/>
    </row>
    <row r="17" spans="1:15" ht="22.5" customHeight="1" x14ac:dyDescent="0.3">
      <c r="B17" s="56" t="s">
        <v>38</v>
      </c>
      <c r="C17" s="86" t="str">
        <f>IF(Voorblad!B19="","",Voorblad!B19)</f>
        <v>SEITO-21A</v>
      </c>
      <c r="D17" s="10"/>
      <c r="E17" s="10"/>
      <c r="F17" s="10"/>
      <c r="G17" s="14"/>
    </row>
    <row r="18" spans="1:15" ht="22.5" customHeight="1" x14ac:dyDescent="0.3">
      <c r="B18" s="56" t="s">
        <v>39</v>
      </c>
      <c r="C18" s="86" t="str">
        <f>IF(Voorblad!B20="","",Voorblad!B20)</f>
        <v/>
      </c>
      <c r="D18" s="10"/>
      <c r="E18" s="10"/>
      <c r="F18" s="10"/>
      <c r="G18" s="14"/>
    </row>
    <row r="19" spans="1:15" ht="22.5" customHeight="1" x14ac:dyDescent="0.3">
      <c r="B19" s="56" t="s">
        <v>40</v>
      </c>
      <c r="C19" s="86" t="str">
        <f>IF(Voorblad!B21="","",Voorblad!B21)</f>
        <v/>
      </c>
      <c r="D19" s="10"/>
      <c r="E19" s="10"/>
      <c r="F19" s="10"/>
      <c r="G19" s="14"/>
    </row>
    <row r="20" spans="1:15" ht="23.25" customHeight="1" x14ac:dyDescent="0.3"/>
    <row r="21" spans="1:15" ht="24" customHeight="1" x14ac:dyDescent="0.3">
      <c r="B21" s="112" t="s">
        <v>132</v>
      </c>
      <c r="C21" s="112"/>
      <c r="D21" s="112"/>
      <c r="E21" s="112"/>
      <c r="F21" s="112"/>
      <c r="G21" s="112"/>
    </row>
    <row r="22" spans="1:15" hidden="1" x14ac:dyDescent="0.3">
      <c r="A22" t="s">
        <v>133</v>
      </c>
      <c r="B22" s="59">
        <v>1</v>
      </c>
      <c r="D22" s="8" t="s">
        <v>134</v>
      </c>
      <c r="E22" s="60" t="s">
        <v>135</v>
      </c>
      <c r="G22" s="8" t="s">
        <v>136</v>
      </c>
      <c r="H22" s="59">
        <f>COUNTIF(Beheersingsniveaus!$C$4:$C$154,$E22)</f>
        <v>4</v>
      </c>
    </row>
    <row r="23" spans="1:15" x14ac:dyDescent="0.3">
      <c r="A23" t="s">
        <v>58</v>
      </c>
      <c r="B23" s="61" t="s">
        <v>137</v>
      </c>
      <c r="C23" s="61" t="s">
        <v>60</v>
      </c>
      <c r="D23" s="61">
        <v>0</v>
      </c>
      <c r="E23" s="61">
        <v>1</v>
      </c>
      <c r="F23" s="61">
        <v>2</v>
      </c>
      <c r="G23" s="61">
        <v>3</v>
      </c>
      <c r="H23" t="s">
        <v>65</v>
      </c>
      <c r="I23" t="s">
        <v>138</v>
      </c>
      <c r="J23" t="s">
        <v>139</v>
      </c>
      <c r="K23" t="s">
        <v>140</v>
      </c>
      <c r="L23" t="s">
        <v>141</v>
      </c>
      <c r="M23" t="s">
        <v>32</v>
      </c>
      <c r="N23" t="s">
        <v>30</v>
      </c>
      <c r="O23" t="s">
        <v>142</v>
      </c>
    </row>
    <row r="24" spans="1:15" ht="145.05000000000001" customHeight="1" x14ac:dyDescent="0.3">
      <c r="A24" s="63" t="s">
        <v>143</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15.05" customHeight="1" x14ac:dyDescent="0.3">
      <c r="A25" s="63" t="s">
        <v>144</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15.05" customHeight="1" x14ac:dyDescent="0.3">
      <c r="A26" s="63" t="s">
        <v>145</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t="b">
        <v>0</v>
      </c>
      <c r="M26" s="59">
        <f>IF(L26=TRUE,3,IF(K26=TRUE,2,IF(J26=TRUE,1,IF(I26=TRUE,0,0))))</f>
        <v>0</v>
      </c>
      <c r="N26" s="59">
        <f>(4-COUNTBLANK(D26:G26))-1</f>
        <v>3</v>
      </c>
      <c r="O26" s="59">
        <f>COUNTA(I26:L26)</f>
        <v>1</v>
      </c>
    </row>
    <row r="27" spans="1:15" ht="130.05000000000001" customHeight="1" x14ac:dyDescent="0.3">
      <c r="A27" s="63" t="s">
        <v>146</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c r="L27" s="59"/>
      <c r="M27" s="59">
        <f>IF(L27=TRUE,3,IF(K27=TRUE,2,IF(J27=TRUE,1,IF(I27=TRUE,0,0))))</f>
        <v>0</v>
      </c>
      <c r="N27" s="59">
        <f>(4-COUNTBLANK(D27:G27))-1</f>
        <v>3</v>
      </c>
      <c r="O27" s="59">
        <f>COUNTA(I27:L27)</f>
        <v>0</v>
      </c>
    </row>
    <row r="29" spans="1:15" ht="28.5" customHeight="1" x14ac:dyDescent="0.5">
      <c r="B29" s="113" t="s">
        <v>147</v>
      </c>
      <c r="C29" s="114"/>
      <c r="D29" s="114"/>
      <c r="E29" s="114"/>
      <c r="F29" s="114"/>
      <c r="G29" s="114"/>
    </row>
    <row r="30" spans="1:15" ht="25.95" customHeight="1" x14ac:dyDescent="0.3">
      <c r="B30" s="66" t="s">
        <v>148</v>
      </c>
    </row>
    <row r="31" spans="1:15" x14ac:dyDescent="0.3">
      <c r="B31" s="68" t="s">
        <v>149</v>
      </c>
      <c r="C31" s="68" t="s">
        <v>150</v>
      </c>
      <c r="D31" s="67" t="s">
        <v>151</v>
      </c>
    </row>
    <row r="32" spans="1:15" x14ac:dyDescent="0.3">
      <c r="B32" s="69">
        <v>0</v>
      </c>
      <c r="C32" s="70">
        <f t="shared" ref="C32:C44" si="0">ROUNDUP(IF(B32&lt;$B$8,4.5/$B$8*B32+1,4.5/($B$4-$B$8)*(B32-$B$8)+5.5),1)</f>
        <v>1</v>
      </c>
      <c r="D32" s="62" t="str">
        <f t="shared" ref="D32:D44" si="1">IF($B32=$B$5,"X","")</f>
        <v>X</v>
      </c>
    </row>
    <row r="33" spans="2:4" x14ac:dyDescent="0.3">
      <c r="B33" s="69">
        <v>1</v>
      </c>
      <c r="C33" s="70">
        <f t="shared" si="0"/>
        <v>1.8</v>
      </c>
      <c r="D33" s="62" t="str">
        <f t="shared" si="1"/>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t="str">
        <f>IF(D32="X","",IF(D33="X",C33,IF(D34="X",C34,IF(D35="X",C35,IF(D36="X",C36,IF(D37="X",C37,IF(D38="X",C38,IF(D39="X",C39,IF(D40="X",C40,IF(D41="X",C41,IF(D42="X",C42,IF(D43="X",C43,IF(D44="X",C44,"")))))))))))))</f>
        <v/>
      </c>
      <c r="C45" s="70"/>
      <c r="D45" s="62"/>
    </row>
    <row r="47" spans="2:4" ht="25.95" customHeight="1" x14ac:dyDescent="0.3">
      <c r="B47" s="66" t="s">
        <v>152</v>
      </c>
    </row>
    <row r="48" spans="2:4" x14ac:dyDescent="0.3">
      <c r="B48" t="s">
        <v>153</v>
      </c>
    </row>
    <row r="49" spans="2:7" ht="34.950000000000003" customHeight="1" x14ac:dyDescent="0.3">
      <c r="B49" s="115" t="s">
        <v>7</v>
      </c>
      <c r="C49" s="115"/>
      <c r="D49" s="115"/>
      <c r="E49" s="115"/>
      <c r="F49" s="115"/>
      <c r="G49" s="115"/>
    </row>
    <row r="50" spans="2:7" ht="300" customHeight="1" x14ac:dyDescent="0.3">
      <c r="B50" s="111"/>
      <c r="C50" s="111"/>
      <c r="D50" s="111"/>
      <c r="E50" s="111"/>
      <c r="F50" s="111"/>
      <c r="G50" s="111"/>
    </row>
    <row r="52" spans="2:7" ht="25.95" customHeight="1" x14ac:dyDescent="0.3">
      <c r="B52" s="66" t="s">
        <v>131</v>
      </c>
    </row>
    <row r="53" spans="2:7" x14ac:dyDescent="0.3">
      <c r="B53" s="71" t="s">
        <v>154</v>
      </c>
    </row>
    <row r="54" spans="2:7" x14ac:dyDescent="0.3">
      <c r="B54" t="s">
        <v>155</v>
      </c>
    </row>
    <row r="57" spans="2:7" x14ac:dyDescent="0.3">
      <c r="B57" t="s">
        <v>156</v>
      </c>
    </row>
    <row r="58" spans="2:7" ht="49.95" customHeight="1" x14ac:dyDescent="0.3">
      <c r="B58" s="111"/>
      <c r="C58" s="111"/>
      <c r="D58" s="111"/>
      <c r="E58" s="111"/>
      <c r="F58" s="111"/>
      <c r="G58" s="111"/>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940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940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940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940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940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940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941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941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59739-7EEB-4AAA-8C10-01ED889DF2AE}">
  <sheetPr codeName="Blad29">
    <tabColor indexed="22"/>
    <pageSetUpPr fitToPage="1"/>
  </sheetPr>
  <dimension ref="A1:O59"/>
  <sheetViews>
    <sheetView showGridLines="0" topLeftCell="B16" workbookViewId="0">
      <selection activeCell="C14" sqref="C14"/>
    </sheetView>
  </sheetViews>
  <sheetFormatPr defaultColWidth="8.77734375"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68</v>
      </c>
      <c r="C1" s="49" t="str">
        <f>VLOOKUP(B1,werkprocessen,2,FALSE)</f>
        <v>Ontwerpt software</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B1-K1-W2: Ontwerpt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82</v>
      </c>
      <c r="C15" s="88" t="str">
        <f>IF(Voorblad!B17="","",Voorblad!B17)</f>
        <v>Shibin Pan</v>
      </c>
      <c r="D15" s="10"/>
      <c r="E15" s="10"/>
      <c r="F15" s="10"/>
      <c r="G15" s="14"/>
    </row>
    <row r="16" spans="1:7" ht="22.5" customHeight="1" x14ac:dyDescent="0.3">
      <c r="B16" s="56" t="s">
        <v>66</v>
      </c>
      <c r="C16" s="89" t="str">
        <f>IF(Voorblad!B18="","",Voorblad!B18)</f>
        <v>Shibin Pan</v>
      </c>
      <c r="D16" s="10"/>
      <c r="E16" s="10"/>
      <c r="F16" s="10"/>
      <c r="G16" s="14"/>
    </row>
    <row r="17" spans="1:15" ht="22.5" customHeight="1" x14ac:dyDescent="0.3">
      <c r="B17" s="56" t="s">
        <v>38</v>
      </c>
      <c r="C17" s="86" t="str">
        <f>IF(Voorblad!B19="","",Voorblad!B19)</f>
        <v>SEITO-21A</v>
      </c>
      <c r="D17" s="10"/>
      <c r="E17" s="10"/>
      <c r="F17" s="10"/>
      <c r="G17" s="14"/>
    </row>
    <row r="18" spans="1:15" ht="22.5" customHeight="1" x14ac:dyDescent="0.3">
      <c r="B18" s="56" t="s">
        <v>39</v>
      </c>
      <c r="C18" s="86" t="str">
        <f>IF(Voorblad!B20="","",Voorblad!B20)</f>
        <v/>
      </c>
      <c r="D18" s="10"/>
      <c r="E18" s="10"/>
      <c r="F18" s="10"/>
      <c r="G18" s="14"/>
    </row>
    <row r="19" spans="1:15" ht="22.5" customHeight="1" x14ac:dyDescent="0.3">
      <c r="B19" s="56" t="s">
        <v>40</v>
      </c>
      <c r="C19" s="86" t="str">
        <f>IF(Voorblad!B21="","",Voorblad!B21)</f>
        <v/>
      </c>
      <c r="D19" s="10"/>
      <c r="E19" s="10"/>
      <c r="F19" s="10"/>
      <c r="G19" s="14"/>
    </row>
    <row r="20" spans="1:15" ht="23.25" customHeight="1" x14ac:dyDescent="0.3"/>
    <row r="21" spans="1:15" ht="24" customHeight="1" x14ac:dyDescent="0.3">
      <c r="B21" s="112" t="s">
        <v>132</v>
      </c>
      <c r="C21" s="112"/>
      <c r="D21" s="112"/>
      <c r="E21" s="112"/>
      <c r="F21" s="112"/>
      <c r="G21" s="112"/>
    </row>
    <row r="22" spans="1:15" hidden="1" x14ac:dyDescent="0.3">
      <c r="A22" t="s">
        <v>133</v>
      </c>
      <c r="B22" s="59">
        <v>1</v>
      </c>
      <c r="D22" s="8" t="s">
        <v>134</v>
      </c>
      <c r="E22" s="60" t="s">
        <v>187</v>
      </c>
      <c r="G22" s="8" t="s">
        <v>136</v>
      </c>
      <c r="H22" s="59">
        <f>COUNTIF(Beheersingsniveaus!$C$4:$C$154,$E22)</f>
        <v>3</v>
      </c>
    </row>
    <row r="23" spans="1:15" x14ac:dyDescent="0.3">
      <c r="A23" t="s">
        <v>58</v>
      </c>
      <c r="B23" s="61" t="s">
        <v>137</v>
      </c>
      <c r="C23" s="61" t="s">
        <v>60</v>
      </c>
      <c r="D23" s="61">
        <v>0</v>
      </c>
      <c r="E23" s="61">
        <v>1</v>
      </c>
      <c r="F23" s="61">
        <v>2</v>
      </c>
      <c r="G23" s="61">
        <v>3</v>
      </c>
      <c r="H23" t="s">
        <v>65</v>
      </c>
      <c r="I23" t="s">
        <v>138</v>
      </c>
      <c r="J23" t="s">
        <v>139</v>
      </c>
      <c r="K23" t="s">
        <v>140</v>
      </c>
      <c r="L23" t="s">
        <v>141</v>
      </c>
      <c r="M23" t="s">
        <v>32</v>
      </c>
      <c r="N23" t="s">
        <v>30</v>
      </c>
      <c r="O23" t="s">
        <v>142</v>
      </c>
    </row>
    <row r="24" spans="1:15" ht="130.05000000000001" customHeight="1" x14ac:dyDescent="0.3">
      <c r="A24" s="63" t="s">
        <v>188</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IF(L24=TRUE,3,IF(K24=TRUE,2,IF(J24=TRUE,1,IF(I24=TRUE,0,0))))</f>
        <v>0</v>
      </c>
      <c r="N24" s="59">
        <f>(4-COUNTBLANK(D24:G24))-1</f>
        <v>3</v>
      </c>
      <c r="O24" s="59">
        <f>COUNTA(I24:L24)</f>
        <v>1</v>
      </c>
    </row>
    <row r="25" spans="1:15" ht="190.05" customHeight="1" x14ac:dyDescent="0.3">
      <c r="A25" s="63" t="s">
        <v>189</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75.05" customHeight="1" x14ac:dyDescent="0.3">
      <c r="A26" s="63" t="s">
        <v>190</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7" spans="1:15" x14ac:dyDescent="0.3">
      <c r="B27" t="s">
        <v>158</v>
      </c>
    </row>
    <row r="28" spans="1:15" ht="28.5" customHeight="1" x14ac:dyDescent="0.5">
      <c r="B28" s="113" t="s">
        <v>159</v>
      </c>
      <c r="C28" s="114"/>
      <c r="D28" s="114"/>
      <c r="E28" s="114"/>
      <c r="F28" s="114"/>
      <c r="G28" s="114"/>
    </row>
    <row r="29" spans="1:15" ht="25.95" customHeight="1" x14ac:dyDescent="0.3">
      <c r="B29" s="66" t="s">
        <v>160</v>
      </c>
    </row>
    <row r="30" spans="1:15" hidden="1" x14ac:dyDescent="0.3">
      <c r="B30" t="s">
        <v>161</v>
      </c>
      <c r="C30" s="59">
        <f>COUNTIF($H:$H,ja)</f>
        <v>1</v>
      </c>
      <c r="D30" s="8" t="s">
        <v>162</v>
      </c>
      <c r="E30" s="60" t="b">
        <f>IF(COUNTIF(J30:J32,FALSE)=0,TRUE,FALSE)</f>
        <v>0</v>
      </c>
    </row>
    <row r="31" spans="1:15" x14ac:dyDescent="0.3">
      <c r="A31" t="s">
        <v>58</v>
      </c>
      <c r="B31" s="68" t="s">
        <v>163</v>
      </c>
      <c r="C31" s="68"/>
      <c r="D31" s="72" t="s">
        <v>164</v>
      </c>
      <c r="E31" s="73"/>
      <c r="H31" t="s">
        <v>165</v>
      </c>
      <c r="I31" t="s">
        <v>166</v>
      </c>
      <c r="J31" t="s">
        <v>167</v>
      </c>
    </row>
    <row r="32" spans="1:15" x14ac:dyDescent="0.3">
      <c r="A32" s="59" t="s">
        <v>188</v>
      </c>
      <c r="B32" t="str">
        <f>VLOOKUP($A32,Beheersingsniveaus!$D$3:$F$154,3,FALSE)</f>
        <v>Ontwerp</v>
      </c>
      <c r="D32" s="69" t="str">
        <f>CONCATENATE(IF(VLOOKUP(A32,A21:N27,13,FALSE)&gt;0,"Behaald","Niet behaald"))</f>
        <v>Niet behaald</v>
      </c>
      <c r="J32" s="59" t="b">
        <f>IF(VLOOKUP($A32,$A$21:$N$27,13,FALSE)&gt;0,TRUE,FALSE)</f>
        <v>0</v>
      </c>
    </row>
    <row r="34" spans="2:4" ht="25.95" customHeight="1" x14ac:dyDescent="0.3">
      <c r="B34" s="66" t="s">
        <v>148</v>
      </c>
    </row>
    <row r="35" spans="2:4" x14ac:dyDescent="0.3">
      <c r="B35" s="68" t="s">
        <v>149</v>
      </c>
      <c r="C35" s="68" t="s">
        <v>150</v>
      </c>
      <c r="D35" s="67" t="s">
        <v>151</v>
      </c>
    </row>
    <row r="36" spans="2:4" x14ac:dyDescent="0.3">
      <c r="B36" s="69">
        <v>0</v>
      </c>
      <c r="C36" s="70">
        <f t="shared" ref="C36:C45" si="0">ROUNDUP(IF(B36&lt;$B$8,4.5/$B$8*B36+1,4.5/($B$4-$B$8)*(B36-$B$8)+5.5),1)</f>
        <v>1</v>
      </c>
      <c r="D36" s="62" t="str">
        <f t="shared" ref="D36:D45" si="1">IF($B36=$B$5,"X","")</f>
        <v>X</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t="str">
        <f>IF(D36="X","",IF(D37="X",C37,IF(D38="X",C38,IF(D39="X",C39,IF(D40="X",C40,IF(D41="X",C41,IF(D42="X",C42,IF(D43="X",C43,IF(D44="X",C44,IF(D45="X",C45,IF(D44="X",C44,IF(D45="X",C45,""))))))))))))</f>
        <v/>
      </c>
      <c r="C46" s="70"/>
      <c r="D46" s="62"/>
    </row>
    <row r="48" spans="2:4" ht="25.95" customHeight="1" x14ac:dyDescent="0.3">
      <c r="B48" s="66" t="s">
        <v>152</v>
      </c>
    </row>
    <row r="49" spans="2:7" x14ac:dyDescent="0.3">
      <c r="B49" t="s">
        <v>153</v>
      </c>
    </row>
    <row r="50" spans="2:7" ht="34.950000000000003" customHeight="1" x14ac:dyDescent="0.3">
      <c r="B50" s="115" t="s">
        <v>7</v>
      </c>
      <c r="C50" s="115"/>
      <c r="D50" s="115"/>
      <c r="E50" s="115"/>
      <c r="F50" s="115"/>
      <c r="G50" s="115"/>
    </row>
    <row r="51" spans="2:7" ht="300" customHeight="1" x14ac:dyDescent="0.3">
      <c r="B51" s="111"/>
      <c r="C51" s="111"/>
      <c r="D51" s="111"/>
      <c r="E51" s="111"/>
      <c r="F51" s="111"/>
      <c r="G51" s="111"/>
    </row>
    <row r="53" spans="2:7" ht="25.95" customHeight="1" x14ac:dyDescent="0.3">
      <c r="B53" s="66" t="s">
        <v>131</v>
      </c>
    </row>
    <row r="54" spans="2:7" x14ac:dyDescent="0.3">
      <c r="B54" s="71" t="s">
        <v>154</v>
      </c>
    </row>
    <row r="55" spans="2:7" x14ac:dyDescent="0.3">
      <c r="B55" t="s">
        <v>155</v>
      </c>
    </row>
    <row r="58" spans="2:7" x14ac:dyDescent="0.3">
      <c r="B58" t="s">
        <v>156</v>
      </c>
    </row>
    <row r="59" spans="2:7" ht="49.95" customHeight="1" x14ac:dyDescent="0.3">
      <c r="B59" s="111"/>
      <c r="C59" s="111"/>
      <c r="D59" s="111"/>
      <c r="E59" s="111"/>
      <c r="F59" s="111"/>
      <c r="G59" s="111"/>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041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042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042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042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042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042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042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042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042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042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042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043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6043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28C29-A0F6-4538-B014-5307170650DE}">
  <sheetPr codeName="Blad30">
    <tabColor indexed="22"/>
    <pageSetUpPr fitToPage="1"/>
  </sheetPr>
  <dimension ref="A1:O77"/>
  <sheetViews>
    <sheetView showGridLines="0" topLeftCell="B10" workbookViewId="0">
      <selection activeCell="C14" sqref="C14"/>
    </sheetView>
  </sheetViews>
  <sheetFormatPr defaultColWidth="8.77734375"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69</v>
      </c>
      <c r="C1" s="49" t="str">
        <f>VLOOKUP(B1,werkprocessen,2,FALSE)</f>
        <v>Realiseert (onderdelen van)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18</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B1-K1-W3: Realiseert (onderdelen van)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82</v>
      </c>
      <c r="C15" s="88" t="str">
        <f>IF(Voorblad!B17="","",Voorblad!B17)</f>
        <v>Shibin Pan</v>
      </c>
      <c r="D15" s="10"/>
      <c r="E15" s="10"/>
      <c r="F15" s="10"/>
      <c r="G15" s="14"/>
    </row>
    <row r="16" spans="1:7" ht="22.5" customHeight="1" x14ac:dyDescent="0.3">
      <c r="B16" s="56" t="s">
        <v>66</v>
      </c>
      <c r="C16" s="89" t="str">
        <f>IF(Voorblad!B18="","",Voorblad!B18)</f>
        <v>Shibin Pan</v>
      </c>
      <c r="D16" s="10"/>
      <c r="E16" s="10"/>
      <c r="F16" s="10"/>
      <c r="G16" s="14"/>
    </row>
    <row r="17" spans="1:15" ht="22.5" customHeight="1" x14ac:dyDescent="0.3">
      <c r="B17" s="56" t="s">
        <v>38</v>
      </c>
      <c r="C17" s="86" t="str">
        <f>IF(Voorblad!B19="","",Voorblad!B19)</f>
        <v>SEITO-21A</v>
      </c>
      <c r="D17" s="10"/>
      <c r="E17" s="10"/>
      <c r="F17" s="10"/>
      <c r="G17" s="14"/>
    </row>
    <row r="18" spans="1:15" ht="22.5" customHeight="1" x14ac:dyDescent="0.3">
      <c r="B18" s="56" t="s">
        <v>39</v>
      </c>
      <c r="C18" s="86" t="str">
        <f>IF(Voorblad!B20="","",Voorblad!B20)</f>
        <v/>
      </c>
      <c r="D18" s="10"/>
      <c r="E18" s="10"/>
      <c r="F18" s="10"/>
      <c r="G18" s="14"/>
    </row>
    <row r="19" spans="1:15" ht="22.5" customHeight="1" x14ac:dyDescent="0.3">
      <c r="B19" s="56" t="s">
        <v>40</v>
      </c>
      <c r="C19" s="86" t="str">
        <f>IF(Voorblad!B21="","",Voorblad!B21)</f>
        <v/>
      </c>
      <c r="D19" s="10"/>
      <c r="E19" s="10"/>
      <c r="F19" s="10"/>
      <c r="G19" s="14"/>
    </row>
    <row r="20" spans="1:15" ht="23.25" customHeight="1" x14ac:dyDescent="0.3"/>
    <row r="21" spans="1:15" ht="24" customHeight="1" x14ac:dyDescent="0.3">
      <c r="B21" s="112" t="s">
        <v>157</v>
      </c>
      <c r="C21" s="112"/>
      <c r="D21" s="112"/>
      <c r="E21" s="112"/>
      <c r="F21" s="112"/>
      <c r="G21" s="112"/>
    </row>
    <row r="22" spans="1:15" hidden="1" x14ac:dyDescent="0.3">
      <c r="A22" t="s">
        <v>133</v>
      </c>
      <c r="B22" s="59">
        <v>2</v>
      </c>
      <c r="D22" s="8" t="s">
        <v>134</v>
      </c>
      <c r="E22" s="60" t="s">
        <v>191</v>
      </c>
      <c r="G22" s="8" t="s">
        <v>136</v>
      </c>
      <c r="H22" s="59">
        <f>COUNTIF(Beheersingsniveaus!$C$4:$C$154,$E22)</f>
        <v>6</v>
      </c>
    </row>
    <row r="23" spans="1:15" x14ac:dyDescent="0.3">
      <c r="A23" t="s">
        <v>58</v>
      </c>
      <c r="B23" s="61" t="s">
        <v>137</v>
      </c>
      <c r="C23" s="61" t="s">
        <v>60</v>
      </c>
      <c r="D23" s="61">
        <v>0</v>
      </c>
      <c r="E23" s="61">
        <v>1</v>
      </c>
      <c r="F23" s="61">
        <v>2</v>
      </c>
      <c r="G23" s="61">
        <v>3</v>
      </c>
      <c r="H23" t="s">
        <v>65</v>
      </c>
      <c r="I23" t="s">
        <v>138</v>
      </c>
      <c r="J23" t="s">
        <v>139</v>
      </c>
      <c r="K23" t="s">
        <v>140</v>
      </c>
      <c r="L23" t="s">
        <v>141</v>
      </c>
      <c r="M23" t="s">
        <v>32</v>
      </c>
      <c r="N23" t="s">
        <v>30</v>
      </c>
      <c r="O23" t="s">
        <v>142</v>
      </c>
    </row>
    <row r="24" spans="1:15" ht="130.05000000000001" customHeight="1" x14ac:dyDescent="0.3">
      <c r="A24" s="63" t="s">
        <v>192</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 t="shared" ref="M24:M29" si="0">IF(L24=TRUE,3,IF(K24=TRUE,2,IF(J24=TRUE,1,IF(I24=TRUE,0,0))))</f>
        <v>0</v>
      </c>
      <c r="N24" s="59">
        <f t="shared" ref="N24:N29" si="1">(4-COUNTBLANK(D24:G24))-1</f>
        <v>3</v>
      </c>
      <c r="O24" s="59">
        <f t="shared" ref="O24:O29" si="2">COUNTA(I24:L24)</f>
        <v>1</v>
      </c>
    </row>
    <row r="25" spans="1:15" ht="145.05000000000001" customHeight="1" x14ac:dyDescent="0.3">
      <c r="A25" s="63" t="s">
        <v>193</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0</v>
      </c>
      <c r="M25" s="59">
        <f t="shared" si="0"/>
        <v>0</v>
      </c>
      <c r="N25" s="59">
        <f t="shared" si="1"/>
        <v>3</v>
      </c>
      <c r="O25" s="59">
        <f t="shared" si="2"/>
        <v>2</v>
      </c>
    </row>
    <row r="26" spans="1:15" ht="190.05" customHeight="1" x14ac:dyDescent="0.3">
      <c r="A26" s="63" t="s">
        <v>194</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c r="K26" s="59" t="b">
        <v>0</v>
      </c>
      <c r="L26" s="59" t="b">
        <v>0</v>
      </c>
      <c r="M26" s="59">
        <f t="shared" si="0"/>
        <v>0</v>
      </c>
      <c r="N26" s="59">
        <f t="shared" si="1"/>
        <v>3</v>
      </c>
      <c r="O26" s="59">
        <f t="shared" si="2"/>
        <v>2</v>
      </c>
    </row>
    <row r="27" spans="1:15" ht="85.05" customHeight="1" x14ac:dyDescent="0.3">
      <c r="A27" s="63" t="s">
        <v>195</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t="b">
        <v>0</v>
      </c>
      <c r="L27" s="59" t="b">
        <v>0</v>
      </c>
      <c r="M27" s="59">
        <f t="shared" si="0"/>
        <v>0</v>
      </c>
      <c r="N27" s="59">
        <f t="shared" si="1"/>
        <v>3</v>
      </c>
      <c r="O27" s="59">
        <f t="shared" si="2"/>
        <v>2</v>
      </c>
    </row>
    <row r="28" spans="1:15" ht="115.05" customHeight="1" x14ac:dyDescent="0.3">
      <c r="A28" s="63" t="s">
        <v>196</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c r="J28" s="59" t="b">
        <v>0</v>
      </c>
      <c r="K28" s="59"/>
      <c r="L28" s="59" t="b">
        <v>0</v>
      </c>
      <c r="M28" s="59">
        <f t="shared" si="0"/>
        <v>0</v>
      </c>
      <c r="N28" s="59">
        <f t="shared" si="1"/>
        <v>3</v>
      </c>
      <c r="O28" s="59">
        <f t="shared" si="2"/>
        <v>2</v>
      </c>
    </row>
    <row r="29" spans="1:15" ht="70.05" customHeight="1" x14ac:dyDescent="0.3">
      <c r="A29" s="63" t="s">
        <v>197</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c r="K29" s="59" t="b">
        <v>0</v>
      </c>
      <c r="L29" s="59" t="b">
        <v>0</v>
      </c>
      <c r="M29" s="59">
        <f t="shared" si="0"/>
        <v>0</v>
      </c>
      <c r="N29" s="59">
        <f t="shared" si="1"/>
        <v>3</v>
      </c>
      <c r="O29" s="59">
        <f t="shared" si="2"/>
        <v>2</v>
      </c>
    </row>
    <row r="30" spans="1:15" x14ac:dyDescent="0.3">
      <c r="B30" t="s">
        <v>158</v>
      </c>
    </row>
    <row r="31" spans="1:15" ht="28.5" customHeight="1" x14ac:dyDescent="0.5">
      <c r="B31" s="113" t="s">
        <v>169</v>
      </c>
      <c r="C31" s="114"/>
      <c r="D31" s="114"/>
      <c r="E31" s="114"/>
      <c r="F31" s="114"/>
      <c r="G31" s="114"/>
    </row>
    <row r="32" spans="1:15" ht="25.95" customHeight="1" x14ac:dyDescent="0.3">
      <c r="B32" s="66" t="s">
        <v>160</v>
      </c>
    </row>
    <row r="33" spans="1:10" hidden="1" x14ac:dyDescent="0.3">
      <c r="B33" t="s">
        <v>161</v>
      </c>
      <c r="C33" s="59">
        <f>COUNTIF($H:$H,ja)</f>
        <v>2</v>
      </c>
      <c r="D33" s="8" t="s">
        <v>162</v>
      </c>
      <c r="E33" s="60" t="b">
        <f>IF(COUNTIF(J33:J36,FALSE)=0,TRUE,FALSE)</f>
        <v>0</v>
      </c>
    </row>
    <row r="34" spans="1:10" x14ac:dyDescent="0.3">
      <c r="A34" t="s">
        <v>58</v>
      </c>
      <c r="B34" s="68" t="s">
        <v>163</v>
      </c>
      <c r="C34" s="68"/>
      <c r="D34" s="72" t="s">
        <v>164</v>
      </c>
      <c r="E34" s="73"/>
      <c r="H34" t="s">
        <v>165</v>
      </c>
      <c r="I34" t="s">
        <v>166</v>
      </c>
      <c r="J34" t="s">
        <v>167</v>
      </c>
    </row>
    <row r="35" spans="1:10" x14ac:dyDescent="0.3">
      <c r="A35" s="59" t="s">
        <v>192</v>
      </c>
      <c r="B35" t="str">
        <f>VLOOKUP($A35,Beheersingsniveaus!$D$3:$F$154,3,FALSE)</f>
        <v>Gerealiseerde user stories</v>
      </c>
      <c r="D35" s="74" t="s">
        <v>1</v>
      </c>
      <c r="E35" s="74" t="s">
        <v>2</v>
      </c>
      <c r="H35" s="59" t="b">
        <f>J35</f>
        <v>0</v>
      </c>
      <c r="I35" s="59" t="b">
        <f>IF(J35=FALSE,TRUE,FALSE)</f>
        <v>1</v>
      </c>
      <c r="J35" s="59" t="b">
        <f>IF(VLOOKUP($A35,$A$21:$N$30,13,FALSE)&gt;0,TRUE,FALSE)</f>
        <v>0</v>
      </c>
    </row>
    <row r="36" spans="1:10" x14ac:dyDescent="0.3">
      <c r="A36" s="59" t="s">
        <v>194</v>
      </c>
      <c r="B36" t="str">
        <f>VLOOKUP($A36,Beheersingsniveaus!$D$3:$F$154,3,FALSE)</f>
        <v>Kwaliteit code</v>
      </c>
      <c r="D36" s="74" t="s">
        <v>1</v>
      </c>
      <c r="E36" s="74" t="s">
        <v>2</v>
      </c>
      <c r="H36" s="59" t="b">
        <f>J36</f>
        <v>0</v>
      </c>
      <c r="I36" s="59" t="b">
        <f>IF(J36=FALSE,TRUE,FALSE)</f>
        <v>1</v>
      </c>
      <c r="J36" s="59" t="b">
        <f>IF(VLOOKUP($A36,$A$21:$N$30,13,FALSE)&gt;0,TRUE,FALSE)</f>
        <v>0</v>
      </c>
    </row>
    <row r="39" spans="1:10" x14ac:dyDescent="0.3">
      <c r="B39" t="s">
        <v>170</v>
      </c>
    </row>
    <row r="40" spans="1:10" x14ac:dyDescent="0.3">
      <c r="B40" s="75" t="s">
        <v>1</v>
      </c>
      <c r="C40" t="s">
        <v>171</v>
      </c>
      <c r="H40" s="59" t="b">
        <f>E33</f>
        <v>0</v>
      </c>
    </row>
    <row r="41" spans="1:10" x14ac:dyDescent="0.3">
      <c r="B41" s="75" t="s">
        <v>2</v>
      </c>
      <c r="C41" t="s">
        <v>172</v>
      </c>
      <c r="H41" s="59" t="b">
        <f>IF(E33=FALSE,TRUE,FALSE)</f>
        <v>1</v>
      </c>
    </row>
    <row r="43" spans="1:10" ht="25.95" customHeight="1" x14ac:dyDescent="0.3">
      <c r="B43" s="66" t="s">
        <v>148</v>
      </c>
    </row>
    <row r="44" spans="1:10" x14ac:dyDescent="0.3">
      <c r="B44" s="68" t="s">
        <v>149</v>
      </c>
      <c r="C44" s="68" t="s">
        <v>150</v>
      </c>
      <c r="D44" s="67" t="s">
        <v>151</v>
      </c>
    </row>
    <row r="45" spans="1:10" x14ac:dyDescent="0.3">
      <c r="B45" s="69">
        <v>0</v>
      </c>
      <c r="C45" s="70">
        <f t="shared" ref="C45:C63" si="3">ROUNDUP(IF(B45&lt;$B$8,4.5/$B$8*B45+1,4.5/($B$4-$B$8)*(B45-$B$8)+5.5),1)</f>
        <v>1</v>
      </c>
      <c r="D45" s="62" t="str">
        <f t="shared" ref="D45:D63" si="4">IF($B45=$B$5,"X","")</f>
        <v>X</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t="str">
        <f>IF(D45="X","",IF(D46="X",C46,IF(D47="X",C47,IF(D48="X",C48,IF(D49="X",C49,IF(D50="X",C50,IF(D51="X",C51,IF(D52="X",C52,IF(D53="X",C53,IF(D54="X",C54,IF(D55="X",C55,IF(D56="X",C56,IF(D57="X",C57,IF(D58="X",C58,IF(D59="X",C59,IF(D60="X",C60,IF(D61="X",C61,IF(D62="X",C62,IF(D63="X",C63,"")))))))))))))))))))</f>
        <v/>
      </c>
      <c r="C64" s="70"/>
      <c r="D64" s="62"/>
    </row>
    <row r="66" spans="2:7" ht="25.95" customHeight="1" x14ac:dyDescent="0.3">
      <c r="B66" s="66" t="s">
        <v>152</v>
      </c>
    </row>
    <row r="67" spans="2:7" x14ac:dyDescent="0.3">
      <c r="B67" t="s">
        <v>153</v>
      </c>
    </row>
    <row r="68" spans="2:7" ht="34.950000000000003" customHeight="1" x14ac:dyDescent="0.3">
      <c r="B68" s="115" t="s">
        <v>7</v>
      </c>
      <c r="C68" s="115"/>
      <c r="D68" s="115"/>
      <c r="E68" s="115"/>
      <c r="F68" s="115"/>
      <c r="G68" s="115"/>
    </row>
    <row r="69" spans="2:7" ht="300" customHeight="1" x14ac:dyDescent="0.3">
      <c r="B69" s="111"/>
      <c r="C69" s="111"/>
      <c r="D69" s="111"/>
      <c r="E69" s="111"/>
      <c r="F69" s="111"/>
      <c r="G69" s="111"/>
    </row>
    <row r="71" spans="2:7" ht="25.95" customHeight="1" x14ac:dyDescent="0.3">
      <c r="B71" s="66" t="s">
        <v>131</v>
      </c>
    </row>
    <row r="72" spans="2:7" x14ac:dyDescent="0.3">
      <c r="B72" s="71" t="s">
        <v>154</v>
      </c>
    </row>
    <row r="73" spans="2:7" x14ac:dyDescent="0.3">
      <c r="B73" t="s">
        <v>155</v>
      </c>
    </row>
    <row r="76" spans="2:7" x14ac:dyDescent="0.3">
      <c r="B76" t="s">
        <v>156</v>
      </c>
    </row>
    <row r="77" spans="2:7" ht="49.95" customHeight="1" x14ac:dyDescent="0.3">
      <c r="B77" s="111"/>
      <c r="C77" s="111"/>
      <c r="D77" s="111"/>
      <c r="E77" s="111"/>
      <c r="F77" s="111"/>
      <c r="G77" s="111"/>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144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144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144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144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144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144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144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145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145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145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145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145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145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145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145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145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6145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6146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6146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6146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6146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6146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6146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6146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6146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6146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6146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6147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6147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6147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6147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3DC68-6222-406B-B9CA-87A1D77820BB}">
  <sheetPr codeName="Blad31">
    <tabColor indexed="22"/>
    <pageSetUpPr fitToPage="1"/>
  </sheetPr>
  <dimension ref="A1:O54"/>
  <sheetViews>
    <sheetView showGridLines="0" topLeftCell="B24" workbookViewId="0">
      <selection activeCell="C14" sqref="C14"/>
    </sheetView>
  </sheetViews>
  <sheetFormatPr defaultColWidth="8.77734375"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70</v>
      </c>
      <c r="C1" s="49" t="str">
        <f>VLOOKUP(B1,werkprocessen,2,FALSE)</f>
        <v>Test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B1-K1-W4: Test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82</v>
      </c>
      <c r="C15" s="88" t="str">
        <f>IF(Voorblad!B17="","",Voorblad!B17)</f>
        <v>Shibin Pan</v>
      </c>
      <c r="D15" s="10"/>
      <c r="E15" s="10"/>
      <c r="F15" s="10"/>
      <c r="G15" s="14"/>
    </row>
    <row r="16" spans="1:7" ht="22.5" customHeight="1" x14ac:dyDescent="0.3">
      <c r="B16" s="56" t="s">
        <v>66</v>
      </c>
      <c r="C16" s="89" t="str">
        <f>IF(Voorblad!B18="","",Voorblad!B18)</f>
        <v>Shibin Pan</v>
      </c>
      <c r="D16" s="10"/>
      <c r="E16" s="10"/>
      <c r="F16" s="10"/>
      <c r="G16" s="14"/>
    </row>
    <row r="17" spans="1:15" ht="22.5" customHeight="1" x14ac:dyDescent="0.3">
      <c r="B17" s="56" t="s">
        <v>38</v>
      </c>
      <c r="C17" s="86" t="str">
        <f>IF(Voorblad!B19="","",Voorblad!B19)</f>
        <v>SEITO-21A</v>
      </c>
      <c r="D17" s="10"/>
      <c r="E17" s="10"/>
      <c r="F17" s="10"/>
      <c r="G17" s="14"/>
    </row>
    <row r="18" spans="1:15" ht="22.5" customHeight="1" x14ac:dyDescent="0.3">
      <c r="B18" s="56" t="s">
        <v>39</v>
      </c>
      <c r="C18" s="86" t="str">
        <f>IF(Voorblad!B20="","",Voorblad!B20)</f>
        <v/>
      </c>
      <c r="D18" s="10"/>
      <c r="E18" s="10"/>
      <c r="F18" s="10"/>
      <c r="G18" s="14"/>
    </row>
    <row r="19" spans="1:15" ht="22.5" customHeight="1" x14ac:dyDescent="0.3">
      <c r="B19" s="56" t="s">
        <v>40</v>
      </c>
      <c r="C19" s="86" t="str">
        <f>IF(Voorblad!B21="","",Voorblad!B21)</f>
        <v/>
      </c>
      <c r="D19" s="10"/>
      <c r="E19" s="10"/>
      <c r="F19" s="10"/>
      <c r="G19" s="14"/>
    </row>
    <row r="20" spans="1:15" ht="23.25" customHeight="1" x14ac:dyDescent="0.3"/>
    <row r="21" spans="1:15" ht="24" customHeight="1" x14ac:dyDescent="0.3">
      <c r="B21" s="112" t="s">
        <v>168</v>
      </c>
      <c r="C21" s="112"/>
      <c r="D21" s="112"/>
      <c r="E21" s="112"/>
      <c r="F21" s="112"/>
      <c r="G21" s="112"/>
    </row>
    <row r="22" spans="1:15" hidden="1" x14ac:dyDescent="0.3">
      <c r="A22" t="s">
        <v>133</v>
      </c>
      <c r="B22" s="59">
        <v>3</v>
      </c>
      <c r="D22" s="8" t="s">
        <v>134</v>
      </c>
      <c r="E22" s="60" t="s">
        <v>198</v>
      </c>
      <c r="G22" s="8" t="s">
        <v>136</v>
      </c>
      <c r="H22" s="59">
        <f>COUNTIF(Beheersingsniveaus!$C$4:$C$154,$E22)</f>
        <v>3</v>
      </c>
    </row>
    <row r="23" spans="1:15" x14ac:dyDescent="0.3">
      <c r="A23" t="s">
        <v>58</v>
      </c>
      <c r="B23" s="61" t="s">
        <v>137</v>
      </c>
      <c r="C23" s="61" t="s">
        <v>60</v>
      </c>
      <c r="D23" s="61">
        <v>0</v>
      </c>
      <c r="E23" s="61">
        <v>1</v>
      </c>
      <c r="F23" s="61">
        <v>2</v>
      </c>
      <c r="G23" s="61">
        <v>3</v>
      </c>
      <c r="H23" t="s">
        <v>65</v>
      </c>
      <c r="I23" t="s">
        <v>138</v>
      </c>
      <c r="J23" t="s">
        <v>139</v>
      </c>
      <c r="K23" t="s">
        <v>140</v>
      </c>
      <c r="L23" t="s">
        <v>141</v>
      </c>
      <c r="M23" t="s">
        <v>32</v>
      </c>
      <c r="N23" t="s">
        <v>30</v>
      </c>
      <c r="O23" t="s">
        <v>142</v>
      </c>
    </row>
    <row r="24" spans="1:15" ht="115.05" customHeight="1" x14ac:dyDescent="0.3">
      <c r="A24" s="63" t="s">
        <v>199</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60.05000000000001" customHeight="1" x14ac:dyDescent="0.3">
      <c r="A25" s="63" t="s">
        <v>200</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00.05" customHeight="1" x14ac:dyDescent="0.3">
      <c r="A26" s="63" t="s">
        <v>201</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8.5" customHeight="1" x14ac:dyDescent="0.5">
      <c r="B28" s="113" t="s">
        <v>174</v>
      </c>
      <c r="C28" s="114"/>
      <c r="D28" s="114"/>
      <c r="E28" s="114"/>
      <c r="F28" s="114"/>
      <c r="G28" s="114"/>
    </row>
    <row r="29" spans="1:15" ht="25.95" customHeight="1" x14ac:dyDescent="0.3">
      <c r="B29" s="66" t="s">
        <v>148</v>
      </c>
    </row>
    <row r="30" spans="1:15" x14ac:dyDescent="0.3">
      <c r="B30" s="68" t="s">
        <v>149</v>
      </c>
      <c r="C30" s="68" t="s">
        <v>150</v>
      </c>
      <c r="D30" s="67" t="s">
        <v>151</v>
      </c>
    </row>
    <row r="31" spans="1:15" x14ac:dyDescent="0.3">
      <c r="B31" s="69">
        <v>0</v>
      </c>
      <c r="C31" s="70">
        <f t="shared" ref="C31:C40" si="0">ROUNDUP(IF(B31&lt;$B$8,4.5/$B$8*B31+1,4.5/($B$4-$B$8)*(B31-$B$8)+5.5),1)</f>
        <v>1</v>
      </c>
      <c r="D31" s="62" t="str">
        <f t="shared" ref="D31:D40" si="1">IF($B31=$B$5,"X","")</f>
        <v>X</v>
      </c>
    </row>
    <row r="32" spans="1:15" x14ac:dyDescent="0.3">
      <c r="B32" s="69">
        <v>1</v>
      </c>
      <c r="C32" s="70">
        <f t="shared" si="0"/>
        <v>2</v>
      </c>
      <c r="D32" s="62" t="str">
        <f t="shared" si="1"/>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t="str">
        <f>IF(D31="X","",IF(D32="X",C32,IF(D33="X",C33,IF(D34="X",C34,IF(D35="X",C35,IF(D36="X",C36,IF(D37="X",C37,IF(D38="X",C38,IF(D39="X",C39,IF(D40="X",C40,""))))))))))</f>
        <v/>
      </c>
      <c r="C41" s="70"/>
      <c r="D41" s="62"/>
    </row>
    <row r="43" spans="2:7" ht="25.95" customHeight="1" x14ac:dyDescent="0.3">
      <c r="B43" s="66" t="s">
        <v>152</v>
      </c>
    </row>
    <row r="44" spans="2:7" x14ac:dyDescent="0.3">
      <c r="B44" t="s">
        <v>153</v>
      </c>
    </row>
    <row r="45" spans="2:7" ht="34.950000000000003" customHeight="1" x14ac:dyDescent="0.3">
      <c r="B45" s="115" t="s">
        <v>7</v>
      </c>
      <c r="C45" s="115"/>
      <c r="D45" s="115"/>
      <c r="E45" s="115"/>
      <c r="F45" s="115"/>
      <c r="G45" s="115"/>
    </row>
    <row r="46" spans="2:7" ht="300" customHeight="1" x14ac:dyDescent="0.3">
      <c r="B46" s="111"/>
      <c r="C46" s="111"/>
      <c r="D46" s="111"/>
      <c r="E46" s="111"/>
      <c r="F46" s="111"/>
      <c r="G46" s="111"/>
    </row>
    <row r="48" spans="2:7" ht="25.95" customHeight="1" x14ac:dyDescent="0.3">
      <c r="B48" s="66" t="s">
        <v>131</v>
      </c>
    </row>
    <row r="49" spans="2:7" x14ac:dyDescent="0.3">
      <c r="B49" s="71" t="s">
        <v>154</v>
      </c>
    </row>
    <row r="50" spans="2:7" x14ac:dyDescent="0.3">
      <c r="B50" t="s">
        <v>155</v>
      </c>
    </row>
    <row r="53" spans="2:7" x14ac:dyDescent="0.3">
      <c r="B53" t="s">
        <v>156</v>
      </c>
    </row>
    <row r="54" spans="2:7" ht="49.95" customHeight="1" x14ac:dyDescent="0.3">
      <c r="B54" s="111"/>
      <c r="C54" s="111"/>
      <c r="D54" s="111"/>
      <c r="E54" s="111"/>
      <c r="F54" s="111"/>
      <c r="G54" s="111"/>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246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246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246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247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247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247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247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247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247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247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247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247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247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58A58-169B-43B9-B8B5-A6E7CD4CA2F6}">
  <sheetPr codeName="Blad32">
    <tabColor indexed="22"/>
    <pageSetUpPr fitToPage="1"/>
  </sheetPr>
  <dimension ref="A1:O69"/>
  <sheetViews>
    <sheetView showGridLines="0" topLeftCell="B9" workbookViewId="0">
      <selection activeCell="C14" sqref="C14"/>
    </sheetView>
  </sheetViews>
  <sheetFormatPr defaultColWidth="8.77734375"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4</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0</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98" t="str">
        <f>CONCATENATE(kerntaakCode,": ",kerntaakNaam)</f>
        <v>B1-K1: Realiseert software</v>
      </c>
      <c r="C10" s="98"/>
      <c r="D10" s="98"/>
      <c r="E10" s="98"/>
      <c r="F10" s="98"/>
      <c r="G10" s="98"/>
    </row>
    <row r="11" spans="1:7" ht="28.5" customHeight="1" x14ac:dyDescent="0.5">
      <c r="B11" s="99" t="str">
        <f>CONCATENATE(VLOOKUP(B1,werkprocessen,1,FALSE),": ",C1)</f>
        <v>B1-K1-W5: Doet verbetervoorstellen voor de software</v>
      </c>
      <c r="C11" s="99"/>
      <c r="D11" s="99"/>
      <c r="E11" s="99"/>
      <c r="F11" s="99"/>
      <c r="G11" s="99"/>
    </row>
    <row r="13" spans="1:7" ht="24" customHeight="1" x14ac:dyDescent="0.3">
      <c r="B13" s="90" t="s">
        <v>36</v>
      </c>
      <c r="C13" s="91"/>
      <c r="D13" s="91"/>
      <c r="E13" s="91"/>
      <c r="F13" s="91"/>
      <c r="G13" s="92"/>
    </row>
    <row r="14" spans="1:7" ht="22.5" customHeight="1" x14ac:dyDescent="0.3">
      <c r="B14" s="56" t="s">
        <v>37</v>
      </c>
      <c r="C14" s="87" t="str">
        <f>IF(Voorblad!B16="","",Voorblad!B16)</f>
        <v/>
      </c>
      <c r="D14" s="9"/>
      <c r="E14" s="9"/>
      <c r="F14" s="9"/>
      <c r="G14" s="13"/>
    </row>
    <row r="15" spans="1:7" ht="22.5" customHeight="1" x14ac:dyDescent="0.3">
      <c r="B15" s="56" t="s">
        <v>82</v>
      </c>
      <c r="C15" s="88" t="str">
        <f>IF(Voorblad!B17="","",Voorblad!B17)</f>
        <v>Shibin Pan</v>
      </c>
      <c r="D15" s="10"/>
      <c r="E15" s="10"/>
      <c r="F15" s="10"/>
      <c r="G15" s="14"/>
    </row>
    <row r="16" spans="1:7" ht="22.5" customHeight="1" x14ac:dyDescent="0.3">
      <c r="B16" s="56" t="s">
        <v>66</v>
      </c>
      <c r="C16" s="89" t="str">
        <f>IF(Voorblad!B18="","",Voorblad!B18)</f>
        <v>Shibin Pan</v>
      </c>
      <c r="D16" s="10"/>
      <c r="E16" s="10"/>
      <c r="F16" s="10"/>
      <c r="G16" s="14"/>
    </row>
    <row r="17" spans="1:15" ht="22.5" customHeight="1" x14ac:dyDescent="0.3">
      <c r="B17" s="56" t="s">
        <v>38</v>
      </c>
      <c r="C17" s="86" t="str">
        <f>IF(Voorblad!B19="","",Voorblad!B19)</f>
        <v>SEITO-21A</v>
      </c>
      <c r="D17" s="10"/>
      <c r="E17" s="10"/>
      <c r="F17" s="10"/>
      <c r="G17" s="14"/>
    </row>
    <row r="18" spans="1:15" ht="22.5" customHeight="1" x14ac:dyDescent="0.3">
      <c r="B18" s="56" t="s">
        <v>39</v>
      </c>
      <c r="C18" s="86" t="str">
        <f>IF(Voorblad!B20="","",Voorblad!B20)</f>
        <v/>
      </c>
      <c r="D18" s="10"/>
      <c r="E18" s="10"/>
      <c r="F18" s="10"/>
      <c r="G18" s="14"/>
    </row>
    <row r="19" spans="1:15" ht="22.5" customHeight="1" x14ac:dyDescent="0.3">
      <c r="B19" s="56" t="s">
        <v>40</v>
      </c>
      <c r="C19" s="86" t="str">
        <f>IF(Voorblad!B21="","",Voorblad!B21)</f>
        <v/>
      </c>
      <c r="D19" s="10"/>
      <c r="E19" s="10"/>
      <c r="F19" s="10"/>
      <c r="G19" s="14"/>
    </row>
    <row r="20" spans="1:15" ht="23.25" customHeight="1" x14ac:dyDescent="0.3"/>
    <row r="21" spans="1:15" ht="24" customHeight="1" x14ac:dyDescent="0.3">
      <c r="B21" s="112" t="s">
        <v>173</v>
      </c>
      <c r="C21" s="112"/>
      <c r="D21" s="112"/>
      <c r="E21" s="112"/>
      <c r="F21" s="112"/>
      <c r="G21" s="112"/>
    </row>
    <row r="22" spans="1:15" hidden="1" x14ac:dyDescent="0.3">
      <c r="A22" t="s">
        <v>133</v>
      </c>
      <c r="B22" s="59">
        <v>4</v>
      </c>
      <c r="D22" s="8" t="s">
        <v>134</v>
      </c>
      <c r="E22" s="60" t="s">
        <v>202</v>
      </c>
      <c r="G22" s="8" t="s">
        <v>136</v>
      </c>
      <c r="H22" s="59">
        <f>COUNTIF(Beheersingsniveaus!$C$4:$C$154,$E22)</f>
        <v>3</v>
      </c>
    </row>
    <row r="23" spans="1:15" x14ac:dyDescent="0.3">
      <c r="A23" t="s">
        <v>58</v>
      </c>
      <c r="B23" s="61" t="s">
        <v>137</v>
      </c>
      <c r="C23" s="61" t="s">
        <v>60</v>
      </c>
      <c r="D23" s="61">
        <v>0</v>
      </c>
      <c r="E23" s="61">
        <v>1</v>
      </c>
      <c r="F23" s="61">
        <v>2</v>
      </c>
      <c r="G23" s="61">
        <v>3</v>
      </c>
      <c r="H23" t="s">
        <v>65</v>
      </c>
      <c r="I23" t="s">
        <v>138</v>
      </c>
      <c r="J23" t="s">
        <v>139</v>
      </c>
      <c r="K23" t="s">
        <v>140</v>
      </c>
      <c r="L23" t="s">
        <v>141</v>
      </c>
      <c r="M23" t="s">
        <v>32</v>
      </c>
      <c r="N23" t="s">
        <v>30</v>
      </c>
      <c r="O23" t="s">
        <v>142</v>
      </c>
    </row>
    <row r="24" spans="1:15" ht="115.05" customHeight="1" x14ac:dyDescent="0.3">
      <c r="A24" s="63" t="s">
        <v>203</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00.05" customHeight="1" x14ac:dyDescent="0.3">
      <c r="A25" s="63" t="s">
        <v>204</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00.05" customHeight="1" x14ac:dyDescent="0.3">
      <c r="A26" s="63" t="s">
        <v>205</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4" hidden="1" customHeight="1" x14ac:dyDescent="0.3">
      <c r="B28" s="112" t="s">
        <v>175</v>
      </c>
      <c r="C28" s="112"/>
      <c r="D28" s="112"/>
      <c r="E28" s="112"/>
      <c r="F28" s="112"/>
      <c r="G28" s="112"/>
    </row>
    <row r="29" spans="1:15" hidden="1" x14ac:dyDescent="0.3">
      <c r="A29" t="s">
        <v>133</v>
      </c>
      <c r="B29" s="59">
        <v>5</v>
      </c>
      <c r="D29" s="8" t="s">
        <v>134</v>
      </c>
      <c r="E29" s="60" t="s">
        <v>176</v>
      </c>
      <c r="G29" s="8" t="s">
        <v>136</v>
      </c>
      <c r="H29" s="59">
        <f>COUNTIF(Beheersingsniveaus!$C$4:$C$154,$E29)</f>
        <v>0</v>
      </c>
    </row>
    <row r="30" spans="1:15" hidden="1" x14ac:dyDescent="0.3">
      <c r="A30" t="s">
        <v>58</v>
      </c>
      <c r="B30" s="61" t="s">
        <v>137</v>
      </c>
      <c r="C30" s="61" t="s">
        <v>60</v>
      </c>
      <c r="D30" s="61">
        <v>0</v>
      </c>
      <c r="E30" s="61">
        <v>1</v>
      </c>
      <c r="F30" s="61">
        <v>2</v>
      </c>
      <c r="G30" s="61">
        <v>3</v>
      </c>
      <c r="H30" t="s">
        <v>65</v>
      </c>
      <c r="I30" t="s">
        <v>138</v>
      </c>
      <c r="J30" t="s">
        <v>139</v>
      </c>
      <c r="K30" t="s">
        <v>140</v>
      </c>
      <c r="L30" t="s">
        <v>141</v>
      </c>
      <c r="M30" t="s">
        <v>32</v>
      </c>
      <c r="N30" t="s">
        <v>30</v>
      </c>
      <c r="O30" t="s">
        <v>142</v>
      </c>
    </row>
    <row r="31" spans="1:15" hidden="1" x14ac:dyDescent="0.3"/>
    <row r="32" spans="1:15" ht="24" customHeight="1" x14ac:dyDescent="0.3">
      <c r="B32" s="112" t="s">
        <v>177</v>
      </c>
      <c r="C32" s="112"/>
      <c r="D32" s="112"/>
      <c r="E32" s="112"/>
      <c r="F32" s="112"/>
      <c r="G32" s="112"/>
    </row>
    <row r="33" spans="1:15" hidden="1" x14ac:dyDescent="0.3">
      <c r="A33" t="s">
        <v>133</v>
      </c>
      <c r="B33" s="59">
        <v>6</v>
      </c>
      <c r="D33" s="8" t="s">
        <v>134</v>
      </c>
      <c r="E33" s="60" t="s">
        <v>178</v>
      </c>
      <c r="G33" s="8" t="s">
        <v>136</v>
      </c>
      <c r="H33" s="59">
        <f>COUNTIF(Beheersingsniveaus!$C$4:$C$154,$E33)</f>
        <v>1</v>
      </c>
    </row>
    <row r="34" spans="1:15" x14ac:dyDescent="0.3">
      <c r="A34" t="s">
        <v>58</v>
      </c>
      <c r="B34" s="61" t="s">
        <v>137</v>
      </c>
      <c r="C34" s="61" t="s">
        <v>60</v>
      </c>
      <c r="D34" s="61">
        <v>0</v>
      </c>
      <c r="E34" s="61">
        <v>1</v>
      </c>
      <c r="F34" s="61">
        <v>2</v>
      </c>
      <c r="G34" s="61">
        <v>3</v>
      </c>
      <c r="H34" t="s">
        <v>65</v>
      </c>
      <c r="I34" t="s">
        <v>138</v>
      </c>
      <c r="J34" t="s">
        <v>139</v>
      </c>
      <c r="K34" t="s">
        <v>140</v>
      </c>
      <c r="L34" t="s">
        <v>141</v>
      </c>
      <c r="M34" t="s">
        <v>32</v>
      </c>
      <c r="N34" t="s">
        <v>30</v>
      </c>
      <c r="O34" t="s">
        <v>142</v>
      </c>
    </row>
    <row r="35" spans="1:15" ht="115.05" customHeight="1" x14ac:dyDescent="0.3">
      <c r="A35" s="63" t="s">
        <v>179</v>
      </c>
      <c r="B35" s="64" t="str">
        <f>VLOOKUP($A35,Beheersingsniveaus!$D$4:$K$154,2,FALSE)</f>
        <v>T10</v>
      </c>
      <c r="C35" s="64" t="str">
        <f>CONCATENATE(VLOOKUP($A35,Beheersingsniveaus!$D$4:$K$154,3,FALSE),IF($H35=ja,"*",""))</f>
        <v>Authenticiteit*</v>
      </c>
      <c r="D35" s="65" t="str">
        <f>VLOOKUP($A35,Beheersingsniveaus!$D$4:$K$154,4,FALSE)</f>
        <v>De examinator(en) is/zijn overtuigd van de authenticiteit van het gemaakte werk van de kandidaat. 
Nee</v>
      </c>
      <c r="E35" s="65" t="str">
        <f>VLOOKUP($A35,Beheersingsniveaus!$D$4:$K$154,5,FALSE)</f>
        <v>Ja</v>
      </c>
      <c r="F35" s="76"/>
      <c r="G35" s="76"/>
      <c r="H35" s="59" t="str">
        <f>VLOOKUP($A35,Beheersingsniveaus!$D$4:$K$154,8,FALSE)</f>
        <v>Ja</v>
      </c>
      <c r="I35" s="59"/>
      <c r="J35" s="59"/>
      <c r="K35" s="59"/>
      <c r="L35" s="59"/>
      <c r="M35" s="59">
        <f>IF(L35=TRUE,3,IF(K35=TRUE,2,IF(J35=TRUE,1,IF(I35=TRUE,0,0))))</f>
        <v>0</v>
      </c>
      <c r="N35" s="59">
        <f>(4-COUNTBLANK(D35:G35))-1</f>
        <v>1</v>
      </c>
      <c r="O35" s="59">
        <f>COUNTA(I35:L35)</f>
        <v>0</v>
      </c>
    </row>
    <row r="36" spans="1:15" x14ac:dyDescent="0.3">
      <c r="B36" t="s">
        <v>158</v>
      </c>
    </row>
    <row r="37" spans="1:15" ht="28.5" customHeight="1" x14ac:dyDescent="0.5">
      <c r="B37" s="113" t="s">
        <v>180</v>
      </c>
      <c r="C37" s="114"/>
      <c r="D37" s="114"/>
      <c r="E37" s="114"/>
      <c r="F37" s="114"/>
      <c r="G37" s="114"/>
    </row>
    <row r="38" spans="1:15" ht="25.95" customHeight="1" x14ac:dyDescent="0.3">
      <c r="B38" s="66" t="s">
        <v>160</v>
      </c>
    </row>
    <row r="39" spans="1:15" hidden="1" x14ac:dyDescent="0.3">
      <c r="B39" t="s">
        <v>161</v>
      </c>
      <c r="C39" s="59">
        <f>COUNTIF($H:$H,ja)</f>
        <v>1</v>
      </c>
      <c r="D39" s="8" t="s">
        <v>162</v>
      </c>
      <c r="E39" s="60" t="b">
        <f>IF(COUNTIF(J39:J41,FALSE)=0,TRUE,FALSE)</f>
        <v>0</v>
      </c>
    </row>
    <row r="40" spans="1:15" x14ac:dyDescent="0.3">
      <c r="A40" t="s">
        <v>58</v>
      </c>
      <c r="B40" s="68" t="s">
        <v>163</v>
      </c>
      <c r="C40" s="68"/>
      <c r="D40" s="72" t="s">
        <v>164</v>
      </c>
      <c r="E40" s="73"/>
      <c r="H40" t="s">
        <v>165</v>
      </c>
      <c r="I40" t="s">
        <v>166</v>
      </c>
      <c r="J40" t="s">
        <v>167</v>
      </c>
    </row>
    <row r="41" spans="1:15" x14ac:dyDescent="0.3">
      <c r="A41" s="59" t="s">
        <v>179</v>
      </c>
      <c r="B41" t="str">
        <f>VLOOKUP($A41,Beheersingsniveaus!$D$3:$F$154,3,FALSE)</f>
        <v>Authenticiteit</v>
      </c>
      <c r="D41" s="69" t="str">
        <f>CONCATENATE(IF(VLOOKUP(A41,A21:N36,13,FALSE)&gt;0,"Behaald","Niet behaald"))</f>
        <v>Niet behaald</v>
      </c>
      <c r="J41" s="59" t="b">
        <f>IF(VLOOKUP($A41,$A$21:$N$36,13,FALSE)&gt;0,TRUE,FALSE)</f>
        <v>0</v>
      </c>
    </row>
    <row r="43" spans="1:15" ht="25.95" customHeight="1" x14ac:dyDescent="0.3">
      <c r="B43" s="66" t="s">
        <v>148</v>
      </c>
    </row>
    <row r="44" spans="1:15" x14ac:dyDescent="0.3">
      <c r="B44" s="68" t="s">
        <v>149</v>
      </c>
      <c r="C44" s="68" t="s">
        <v>150</v>
      </c>
      <c r="D44" s="67" t="s">
        <v>151</v>
      </c>
    </row>
    <row r="45" spans="1:15" x14ac:dyDescent="0.3">
      <c r="B45" s="69">
        <v>0</v>
      </c>
      <c r="C45" s="70">
        <f t="shared" ref="C45:C55" si="0">ROUNDUP(IF(B45&lt;$B$8,4.5/$B$8*B45+1,4.5/($B$4-$B$8)*(B45-$B$8)+5.5),1)</f>
        <v>1</v>
      </c>
      <c r="D45" s="62" t="str">
        <f t="shared" ref="D45:D55" si="1">IF($B45=$B$5,"X","")</f>
        <v>X</v>
      </c>
    </row>
    <row r="46" spans="1:15" x14ac:dyDescent="0.3">
      <c r="B46" s="69">
        <v>1</v>
      </c>
      <c r="C46" s="70">
        <f t="shared" si="0"/>
        <v>1.9</v>
      </c>
      <c r="D46" s="62" t="str">
        <f t="shared" si="1"/>
        <v/>
      </c>
    </row>
    <row r="47" spans="1:15" x14ac:dyDescent="0.3">
      <c r="B47" s="69">
        <v>2</v>
      </c>
      <c r="C47" s="70">
        <f t="shared" si="0"/>
        <v>2.8</v>
      </c>
      <c r="D47" s="62" t="str">
        <f t="shared" si="1"/>
        <v/>
      </c>
    </row>
    <row r="48" spans="1:15" x14ac:dyDescent="0.3">
      <c r="B48" s="69">
        <v>3</v>
      </c>
      <c r="C48" s="70">
        <f t="shared" si="0"/>
        <v>3.7</v>
      </c>
      <c r="D48" s="62" t="str">
        <f t="shared" si="1"/>
        <v/>
      </c>
    </row>
    <row r="49" spans="2:7" x14ac:dyDescent="0.3">
      <c r="B49" s="69">
        <v>4</v>
      </c>
      <c r="C49" s="70">
        <f t="shared" si="0"/>
        <v>4.5999999999999996</v>
      </c>
      <c r="D49" s="62" t="str">
        <f t="shared" si="1"/>
        <v/>
      </c>
    </row>
    <row r="50" spans="2:7" x14ac:dyDescent="0.3">
      <c r="B50" s="69">
        <v>5</v>
      </c>
      <c r="C50" s="70">
        <f t="shared" si="0"/>
        <v>5.5</v>
      </c>
      <c r="D50" s="62" t="str">
        <f t="shared" si="1"/>
        <v/>
      </c>
    </row>
    <row r="51" spans="2:7" x14ac:dyDescent="0.3">
      <c r="B51" s="69">
        <v>6</v>
      </c>
      <c r="C51" s="70">
        <f t="shared" si="0"/>
        <v>6.4</v>
      </c>
      <c r="D51" s="62" t="str">
        <f t="shared" si="1"/>
        <v/>
      </c>
    </row>
    <row r="52" spans="2:7" x14ac:dyDescent="0.3">
      <c r="B52" s="69">
        <v>7</v>
      </c>
      <c r="C52" s="70">
        <f t="shared" si="0"/>
        <v>7.3</v>
      </c>
      <c r="D52" s="62" t="str">
        <f t="shared" si="1"/>
        <v/>
      </c>
    </row>
    <row r="53" spans="2:7" x14ac:dyDescent="0.3">
      <c r="B53" s="69">
        <v>8</v>
      </c>
      <c r="C53" s="70">
        <f t="shared" si="0"/>
        <v>8.1999999999999993</v>
      </c>
      <c r="D53" s="62" t="str">
        <f t="shared" si="1"/>
        <v/>
      </c>
    </row>
    <row r="54" spans="2:7" x14ac:dyDescent="0.3">
      <c r="B54" s="69">
        <v>9</v>
      </c>
      <c r="C54" s="70">
        <f t="shared" si="0"/>
        <v>9.1</v>
      </c>
      <c r="D54" s="62" t="str">
        <f t="shared" si="1"/>
        <v/>
      </c>
    </row>
    <row r="55" spans="2:7" x14ac:dyDescent="0.3">
      <c r="B55" s="69">
        <v>10</v>
      </c>
      <c r="C55" s="70">
        <f t="shared" si="0"/>
        <v>10</v>
      </c>
      <c r="D55" s="62" t="str">
        <f t="shared" si="1"/>
        <v/>
      </c>
    </row>
    <row r="56" spans="2:7" x14ac:dyDescent="0.3">
      <c r="B56" s="69" t="str">
        <f>IF(D45="X","",IF(D46="X",C46,IF(D47="X",C47,IF(D48="X",C48,IF(D49="X",C49,IF(D50="X",C50,IF(D51="X",C51,IF(D52="X",C52,IF(D53="X",C53,IF(D54="X",C54,IF(D55="X",C55,"")))))))))))</f>
        <v/>
      </c>
      <c r="C56" s="70"/>
      <c r="D56" s="62"/>
    </row>
    <row r="57" spans="2:7" hidden="1" x14ac:dyDescent="0.3"/>
    <row r="58" spans="2:7" ht="25.95" customHeight="1" x14ac:dyDescent="0.3">
      <c r="B58" s="66" t="s">
        <v>152</v>
      </c>
    </row>
    <row r="59" spans="2:7" x14ac:dyDescent="0.3">
      <c r="B59" t="s">
        <v>153</v>
      </c>
    </row>
    <row r="60" spans="2:7" ht="34.950000000000003" customHeight="1" x14ac:dyDescent="0.3">
      <c r="B60" s="115" t="s">
        <v>7</v>
      </c>
      <c r="C60" s="115"/>
      <c r="D60" s="115"/>
      <c r="E60" s="115"/>
      <c r="F60" s="115"/>
      <c r="G60" s="115"/>
    </row>
    <row r="61" spans="2:7" ht="300" customHeight="1" x14ac:dyDescent="0.3">
      <c r="B61" s="111"/>
      <c r="C61" s="111"/>
      <c r="D61" s="111"/>
      <c r="E61" s="111"/>
      <c r="F61" s="111"/>
      <c r="G61" s="111"/>
    </row>
    <row r="63" spans="2:7" ht="25.95" customHeight="1" x14ac:dyDescent="0.3">
      <c r="B63" s="66" t="s">
        <v>131</v>
      </c>
    </row>
    <row r="64" spans="2:7" x14ac:dyDescent="0.3">
      <c r="B64" s="71" t="s">
        <v>154</v>
      </c>
    </row>
    <row r="65" spans="2:7" x14ac:dyDescent="0.3">
      <c r="B65" t="s">
        <v>155</v>
      </c>
    </row>
    <row r="68" spans="2:7" x14ac:dyDescent="0.3">
      <c r="B68" t="s">
        <v>156</v>
      </c>
    </row>
    <row r="69" spans="2:7" ht="49.95" customHeight="1" x14ac:dyDescent="0.3">
      <c r="B69" s="111"/>
      <c r="C69" s="111"/>
      <c r="D69" s="111"/>
      <c r="E69" s="111"/>
      <c r="F69" s="111"/>
      <c r="G69" s="111"/>
    </row>
  </sheetData>
  <mergeCells count="10">
    <mergeCell ref="B37:G37"/>
    <mergeCell ref="B60:G60"/>
    <mergeCell ref="B61:G61"/>
    <mergeCell ref="B69:G69"/>
    <mergeCell ref="B10:G10"/>
    <mergeCell ref="B11:G11"/>
    <mergeCell ref="B13:G13"/>
    <mergeCell ref="B21:G21"/>
    <mergeCell ref="B28:G28"/>
    <mergeCell ref="B32:G32"/>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5:G35">
    <cfRule type="expression" dxfId="2" priority="4" stopIfTrue="1">
      <formula>COUNTIF($I35:$L35,TRUE)&gt;1</formula>
    </cfRule>
  </conditionalFormatting>
  <conditionalFormatting sqref="B45:C56">
    <cfRule type="expression" dxfId="1" priority="5" stopIfTrue="1">
      <formula>$E$39=FALSE</formula>
    </cfRule>
  </conditionalFormatting>
  <conditionalFormatting sqref="D44:D56">
    <cfRule type="expression" dxfId="0" priority="6" stopIfTrue="1">
      <formula>$E$39=FALSE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35'">
                <anchor moveWithCells="1">
                  <from>
                    <xdr:col>3</xdr:col>
                    <xdr:colOff>0</xdr:colOff>
                    <xdr:row>34</xdr:row>
                    <xdr:rowOff>0</xdr:rowOff>
                  </from>
                  <to>
                    <xdr:col>4</xdr:col>
                    <xdr:colOff>0</xdr:colOff>
                    <xdr:row>34</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35'">
                <anchor moveWithCells="1">
                  <from>
                    <xdr:col>4</xdr:col>
                    <xdr:colOff>0</xdr:colOff>
                    <xdr:row>34</xdr:row>
                    <xdr:rowOff>0</xdr:rowOff>
                  </from>
                  <to>
                    <xdr:col>5</xdr:col>
                    <xdr:colOff>0</xdr:colOff>
                    <xdr:row>34</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anchor moveWithCells="1">
                  <from>
                    <xdr:col>1</xdr:col>
                    <xdr:colOff>0</xdr:colOff>
                    <xdr:row>65</xdr:row>
                    <xdr:rowOff>0</xdr:rowOff>
                  </from>
                  <to>
                    <xdr:col>2</xdr:col>
                    <xdr:colOff>0</xdr:colOff>
                    <xdr:row>66</xdr:row>
                    <xdr:rowOff>22860</xdr:rowOff>
                  </to>
                </anchor>
              </controlPr>
            </control>
          </mc:Choice>
        </mc:AlternateContent>
        <mc:AlternateContent xmlns:mc="http://schemas.openxmlformats.org/markup-compatibility/2006">
          <mc:Choice Requires="x14">
            <control shapeId="63505" r:id="rId19" name="Check Box 17">
              <controlPr defaultSize="0" autoFill="0" autoLine="0" autoPict="0">
                <anchor moveWithCells="1">
                  <from>
                    <xdr:col>2</xdr:col>
                    <xdr:colOff>0</xdr:colOff>
                    <xdr:row>65</xdr:row>
                    <xdr:rowOff>0</xdr:rowOff>
                  </from>
                  <to>
                    <xdr:col>3</xdr:col>
                    <xdr:colOff>190500</xdr:colOff>
                    <xdr:row>66</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402D4E20617048B9AE91349D175371" ma:contentTypeVersion="16" ma:contentTypeDescription="Een nieuw document maken." ma:contentTypeScope="" ma:versionID="fc37b1e689eb4d2cac650ccce9bbad08">
  <xsd:schema xmlns:xsd="http://www.w3.org/2001/XMLSchema" xmlns:xs="http://www.w3.org/2001/XMLSchema" xmlns:p="http://schemas.microsoft.com/office/2006/metadata/properties" xmlns:ns2="f727df04-93ba-4323-ac4e-e4cf5a7715c9" xmlns:ns3="35c6331a-2a23-464e-9aa5-03df216f8e92" targetNamespace="http://schemas.microsoft.com/office/2006/metadata/properties" ma:root="true" ma:fieldsID="a4f2abc24b830a2b5ad45ac9cdfa9882" ns2:_="" ns3:_="">
    <xsd:import namespace="f727df04-93ba-4323-ac4e-e4cf5a7715c9"/>
    <xsd:import namespace="35c6331a-2a23-464e-9aa5-03df216f8e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27df04-93ba-4323-ac4e-e4cf5a7715c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Afbeeldingtags" ma:readOnly="false" ma:fieldId="{5cf76f15-5ced-4ddc-b409-7134ff3c332f}" ma:taxonomyMulti="true" ma:sspId="3a693f84-d9d9-45de-9cc2-e572aa08d8e3"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5c6331a-2a23-464e-9aa5-03df216f8e92" elementFormDefault="qualified">
    <xsd:import namespace="http://schemas.microsoft.com/office/2006/documentManagement/types"/>
    <xsd:import namespace="http://schemas.microsoft.com/office/infopath/2007/PartnerControls"/>
    <xsd:element name="SharedWithUsers" ma:index="1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Gedeeld met details" ma:internalName="SharedWithDetails" ma:readOnly="true">
      <xsd:simpleType>
        <xsd:restriction base="dms:Note">
          <xsd:maxLength value="255"/>
        </xsd:restriction>
      </xsd:simpleType>
    </xsd:element>
    <xsd:element name="TaxCatchAll" ma:index="23" nillable="true" ma:displayName="Taxonomy Catch All Column" ma:hidden="true" ma:list="{a403dfc1-6f3e-4674-8584-9ac7b05093c2}" ma:internalName="TaxCatchAll" ma:showField="CatchAllData" ma:web="35c6331a-2a23-464e-9aa5-03df216f8e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35c6331a-2a23-464e-9aa5-03df216f8e92">
      <UserInfo>
        <DisplayName/>
        <AccountId xsi:nil="true"/>
        <AccountType/>
      </UserInfo>
    </SharedWithUsers>
    <lcf76f155ced4ddcb4097134ff3c332f xmlns="f727df04-93ba-4323-ac4e-e4cf5a7715c9">
      <Terms xmlns="http://schemas.microsoft.com/office/infopath/2007/PartnerControls"/>
    </lcf76f155ced4ddcb4097134ff3c332f>
    <TaxCatchAll xmlns="35c6331a-2a23-464e-9aa5-03df216f8e92" xsi:nil="true"/>
  </documentManagement>
</p:properties>
</file>

<file path=customXml/itemProps1.xml><?xml version="1.0" encoding="utf-8"?>
<ds:datastoreItem xmlns:ds="http://schemas.openxmlformats.org/officeDocument/2006/customXml" ds:itemID="{80BF2101-D5EB-4B3F-8819-C7DEEA5193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727df04-93ba-4323-ac4e-e4cf5a7715c9"/>
    <ds:schemaRef ds:uri="35c6331a-2a23-464e-9aa5-03df216f8e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www.w3.org/XML/1998/namespace"/>
    <ds:schemaRef ds:uri="http://purl.org/dc/terms/"/>
    <ds:schemaRef ds:uri="http://purl.org/dc/elements/1.1/"/>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35c6331a-2a23-464e-9aa5-03df216f8e92"/>
    <ds:schemaRef ds:uri="ef046627-44dc-457e-88b4-6fe26c1e4406"/>
    <ds:schemaRef ds:uri="http://schemas.microsoft.com/office/2006/metadata/properties"/>
    <ds:schemaRef ds:uri="f727df04-93ba-4323-ac4e-e4cf5a7715c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Shibin Pan</cp:lastModifiedBy>
  <cp:revision/>
  <dcterms:created xsi:type="dcterms:W3CDTF">2015-10-30T11:14:52Z</dcterms:created>
  <dcterms:modified xsi:type="dcterms:W3CDTF">2024-02-16T10:04:00Z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0x010100F9402D4E20617048B9AE91349D175371</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ies>
</file>